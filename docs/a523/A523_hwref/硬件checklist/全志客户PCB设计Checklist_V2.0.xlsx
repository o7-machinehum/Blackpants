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1"/>
  </bookViews>
  <sheets>
    <sheet name="版本管理" sheetId="1" r:id="rId1"/>
    <sheet name="PCB checklist" sheetId="2" r:id="rId2"/>
    <sheet name="阻抗，等长需求表" sheetId="3" r:id="rId3"/>
  </sheets>
  <calcPr calcId="144525"/>
</workbook>
</file>

<file path=xl/sharedStrings.xml><?xml version="1.0" encoding="utf-8"?>
<sst xmlns="http://schemas.openxmlformats.org/spreadsheetml/2006/main" count="500" uniqueCount="220">
  <si>
    <t>版本历史</t>
  </si>
  <si>
    <t>版本</t>
  </si>
  <si>
    <t>日期</t>
  </si>
  <si>
    <t>修订人</t>
  </si>
  <si>
    <t>审核人</t>
  </si>
  <si>
    <t>版本描述</t>
  </si>
  <si>
    <t>2.0</t>
  </si>
  <si>
    <t>2022-04-12</t>
  </si>
  <si>
    <t>AWA1798</t>
  </si>
  <si>
    <t>发布初版本</t>
  </si>
  <si>
    <t xml:space="preserve">文档说明：
本文档用于指导客户PCB layout 设计进行自我检查，另外本司还有关于《PCB设计guide》，对于pcb 设计细节都有进行详细说明，用于指导客户如何设计，请详细查阅。
</t>
  </si>
  <si>
    <t>全志XXX 硬件平台客户PCB设计Checklist</t>
  </si>
  <si>
    <t>客户名称</t>
  </si>
  <si>
    <t>级别</t>
  </si>
  <si>
    <t>总数</t>
  </si>
  <si>
    <t>"不通过"数量</t>
  </si>
  <si>
    <t>"不涉及"数量</t>
  </si>
  <si>
    <t>通过率</t>
  </si>
  <si>
    <t>文档名称</t>
  </si>
  <si>
    <t>建议</t>
  </si>
  <si>
    <t>”建议“：建议执行，”不满足“需要说明</t>
  </si>
  <si>
    <t>设计者</t>
  </si>
  <si>
    <t>规则</t>
  </si>
  <si>
    <t>”规则“：原则要求强制执行，”不满足“需要详细说，且专家审核通过</t>
  </si>
  <si>
    <t>审核结论</t>
  </si>
  <si>
    <t>通过</t>
  </si>
  <si>
    <t>分类</t>
  </si>
  <si>
    <t>编号</t>
  </si>
  <si>
    <t>检查项</t>
  </si>
  <si>
    <t>自检结论</t>
  </si>
  <si>
    <t>“不满足”说明</t>
  </si>
  <si>
    <t>客户专家检查</t>
  </si>
  <si>
    <t>备注说明</t>
  </si>
  <si>
    <t>基本要求</t>
  </si>
  <si>
    <t>1</t>
  </si>
  <si>
    <t>DRAM layout 设计是否完全复制全志公司提供的模板。走线、过孔、线宽线距、包地、电源平面、GND平面、阻容摆放都完全复制模板设计。</t>
  </si>
  <si>
    <t>满足</t>
  </si>
  <si>
    <t>不通过</t>
  </si>
  <si>
    <t>2</t>
  </si>
  <si>
    <t>如果DDR模板需改动，请先与全志工程师联系，确认修改满足全志DRAM设计guide，并通过SIPI仿真</t>
  </si>
  <si>
    <t>3</t>
  </si>
  <si>
    <t>PCB 的叠层参数与阻抗控制符合《全志叠层设计》说明。</t>
  </si>
  <si>
    <t>SOC</t>
  </si>
  <si>
    <t>4</t>
  </si>
  <si>
    <t>BGA 焊盘采用十字形连接，不要与GND铜箔全连接，焊接时防止散热过快，导致虚焊。（电源 ball 除外）</t>
  </si>
  <si>
    <t>5</t>
  </si>
  <si>
    <t>晶振尽量靠近 IC 摆放，使 X24MI 和 X24MO 走线小于 600mil。</t>
  </si>
  <si>
    <t>6</t>
  </si>
  <si>
    <t>晶振及其走线区域的外围和相邻层，用 GND 屏蔽保护。晶体及其走线区域的相邻层，禁止其它走线。</t>
  </si>
  <si>
    <t>电源</t>
  </si>
  <si>
    <t>7</t>
  </si>
  <si>
    <t>VDD_SYS，VDD_CPU，VDD_DRAM铜箔尽量宽，换层过孔是否足够，一般定义1oz铜厚，宽度40mil铜箔可通过1A电流，V8X16的Via过0.5A电流。</t>
  </si>
  <si>
    <t>8</t>
  </si>
  <si>
    <t>VDD-CPUFB、VDD-SYSFB 为电压反馈信号，远离板边及远离 DDR、CSI、SD、CARD 等干扰信号走线，走 Power 层沿其电源平面一起走到负载。如果与其他信号并排走，需要包地保护或 8mil 间距。</t>
  </si>
  <si>
    <t>9</t>
  </si>
  <si>
    <t>电源芯片的位置摆放合理，靠近负载。</t>
  </si>
  <si>
    <t>10</t>
  </si>
  <si>
    <t>Charger，DCDC(Buck, Boost)，LDO的相关电容，电感，采样电阻摆放靠近相关Pin。</t>
  </si>
  <si>
    <t>11</t>
  </si>
  <si>
    <t>VBUS,ACIN，DCDC，Charger,LDO等功率走线铺大铜箔。</t>
  </si>
  <si>
    <t>12</t>
  </si>
  <si>
    <t>Charger，DCDC的LX网络铺铜合理。</t>
  </si>
  <si>
    <t>13</t>
  </si>
  <si>
    <t>电压，电流反馈避开LX网络和其它跳变信号。</t>
  </si>
  <si>
    <t>WIFI BT GPS</t>
  </si>
  <si>
    <t>14</t>
  </si>
  <si>
    <t>原理图布局天线馈线的匹配电容电阻，使馈线平滑，最短。无分支，无过孔，少拐角</t>
  </si>
  <si>
    <t>15</t>
  </si>
  <si>
    <t>天线传输线需尽量短，平顺，拐角处需走弧度线，需隔层参考的话注意相邻层挖空，WIFI天线尽量远离DRAM走线，高速信号及时钟信号，变化比较大的电源信号。</t>
  </si>
  <si>
    <t>16</t>
  </si>
  <si>
    <t>使用PCB走线作天线，请确保天线走线附近区域完全净空，净空区大于50mm²。天线本体至少距周围的金属1cm以上。</t>
  </si>
  <si>
    <t>17</t>
  </si>
  <si>
    <t>GPS电路位置，远离电源、DDR、LCD电路、摄像头、马达、SPEAKER等易产生干扰的模块，间距至少20mm。</t>
  </si>
  <si>
    <t>18</t>
  </si>
  <si>
    <t>TCXO对温度敏感，尽量远离PMU、CPU、PA、散热器等发热体。TCXO靠近GPS BB摆放。</t>
  </si>
  <si>
    <t>19</t>
  </si>
  <si>
    <t>TCXO下方各层都必须净空 ( Bottom层除外 ) ，Bottom层以“网格形状”覆地，并且“网格形状”入地点要少一些，TCXO接地管脚单点入地</t>
  </si>
  <si>
    <t>eMMC</t>
  </si>
  <si>
    <t>20</t>
  </si>
  <si>
    <t>CLK和DS信号做包地处理，如果不能包地则保持12mil间距。</t>
  </si>
  <si>
    <t>21</t>
  </si>
  <si>
    <t>D0~D7、DS相对CLK等长控制≤300mil；</t>
  </si>
  <si>
    <t>22</t>
  </si>
  <si>
    <t>CLK 串接 33R 电阻靠近主控摆放，串阻与主控 CLK 连接走线距离≤300mil。</t>
  </si>
  <si>
    <t>23</t>
  </si>
  <si>
    <t>DS 下拉电阻靠近 EMMC 摆放。下拉电阻引入桩线长度≤200mil。</t>
  </si>
  <si>
    <t>24</t>
  </si>
  <si>
    <t>走线阻抗50 +/-10% ohm。参考平面完整。保持8mil间距。</t>
  </si>
  <si>
    <t>NAND</t>
  </si>
  <si>
    <t>25</t>
  </si>
  <si>
    <t>RE、WE、DQS信号做包地处理，如果不能包地则保持12mil间距。</t>
  </si>
  <si>
    <t>26</t>
  </si>
  <si>
    <t>D0~D7、RE、WE相对于DQS等长控制≤300mil；</t>
  </si>
  <si>
    <t>27</t>
  </si>
  <si>
    <t>RE、WE、DQS信号串接电阻靠近主控摆放，串阻与主控 连接走线距离≤300mil。</t>
  </si>
  <si>
    <t>28</t>
  </si>
  <si>
    <t>29</t>
  </si>
  <si>
    <t>SD-SDIO</t>
  </si>
  <si>
    <t>30</t>
  </si>
  <si>
    <t>CLK做包地处理，如果不能包地则保持8mil间距。</t>
  </si>
  <si>
    <t>31</t>
  </si>
  <si>
    <t>D0~D3相对CLK等长控制&lt;500mil；</t>
  </si>
  <si>
    <t>32</t>
  </si>
  <si>
    <t>CLK 串接 电阻靠近主控摆放，串阻与主控 CLK 连接走线距离≤300mil。</t>
  </si>
  <si>
    <t>33</t>
  </si>
  <si>
    <t>走线阻抗50 +/-10% ohm。参考平面完整。保持2W间距。</t>
  </si>
  <si>
    <t>音频</t>
  </si>
  <si>
    <t>34</t>
  </si>
  <si>
    <t xml:space="preserve">AVCC、VRP、VRA1、VRA2和AGND接地电容、电阻靠近主控摆放。 </t>
  </si>
  <si>
    <t>35</t>
  </si>
  <si>
    <t>AGND铜箔宽度≥20mil，AGND接地电阻连接到GND平面的过孔≥2个。</t>
  </si>
  <si>
    <t>36</t>
  </si>
  <si>
    <t>CPVDD、CPVEE、VPP、VEE走线宽度≥10mil，长度≤300mil。</t>
  </si>
  <si>
    <t>37</t>
  </si>
  <si>
    <t>CPVEE与VEE的走线在电容处形成星形连接，CPVDD与VPP的走线在电容处形成星型连接。</t>
  </si>
  <si>
    <t>38</t>
  </si>
  <si>
    <t>MICxP、MICxN，类差分走线，线宽4mil，线距4mil，包地。</t>
  </si>
  <si>
    <t>39</t>
  </si>
  <si>
    <t>MBIAS、HBIAS与MICxP/MICxN并行走线，线宽10mil。包地。</t>
  </si>
  <si>
    <t>40</t>
  </si>
  <si>
    <t>LINEINL/R 、AXIL/R、FMINL/R 每队L、R信号分别包地，线宽4mil。走线及过孔远离高速信号及时钟信号。</t>
  </si>
  <si>
    <t>41</t>
  </si>
  <si>
    <t>SPOLP/N 、SPORP/N、LINEOUTP/N、PHONEINP/N、PHONEOUTP/N每队P、N信号分别类差分走线，线宽4mil，线距4mil，包地。</t>
  </si>
  <si>
    <t>42</t>
  </si>
  <si>
    <t>EAROUTP/N，信号类差分走线，线宽10mil，线距4mil，包地。</t>
  </si>
  <si>
    <t>43</t>
  </si>
  <si>
    <t>HPL、HPCOM、HPCOMFB、HPR整组包地，线宽10 mil。HPL、HPR在两旁，HPCOM、HPCOMFB在中间，走线及过孔远离高速信号及时钟信号。</t>
  </si>
  <si>
    <t>CSI（非MIPI)</t>
  </si>
  <si>
    <t>44</t>
  </si>
  <si>
    <t>PCLK的对地电容靠近主控，串联电阻靠近模组；</t>
  </si>
  <si>
    <t>45</t>
  </si>
  <si>
    <t>MCLK的对地电容靠近模组，串联电阻靠近主控；</t>
  </si>
  <si>
    <t>46</t>
  </si>
  <si>
    <t>Hsync的对地电容靠近主控；</t>
  </si>
  <si>
    <t>47</t>
  </si>
  <si>
    <t>Vsync、Hsync、Data串联电阻靠近模组；</t>
  </si>
  <si>
    <t>48</t>
  </si>
  <si>
    <t>PCLK单线包地，如果不能包地则保持12mil间距。</t>
  </si>
  <si>
    <t>USB2.0</t>
  </si>
  <si>
    <t>去耦电容和滤波电容，需要靠近IC摆放，接口ESD器件靠近连接器端摆放，且ESD器件与连接器的传输线长度要小于等于500mils。SS_TX串接的电容应靠近IC端摆放。</t>
  </si>
  <si>
    <t>USB3.0</t>
  </si>
  <si>
    <t>51</t>
  </si>
  <si>
    <t>SSRX长度匹配调整处应靠近接口连接器；SSTX调整处应靠近SOC端。具体阻抗，等长需求见阻抗，等长需求表。</t>
  </si>
  <si>
    <t>EPHY</t>
  </si>
  <si>
    <t>52</t>
  </si>
  <si>
    <t>变压器靠近RJ45座子摆放，以太网LED灯靠近座子摆放。RJ45及变压器下面所有层不铺铜，掏空距离40-80mil。</t>
  </si>
  <si>
    <t>53</t>
  </si>
  <si>
    <t>内置EPHY：RTX电阻，VCC-EPHY电容，VDD-EPHY电容靠近主控摆放。</t>
  </si>
  <si>
    <t>54</t>
  </si>
  <si>
    <t>外挂100M PHY ：PWFBOUT上连接电感电容靠近PHY芯片PWFBOUT管脚摆放。PWFBIN连接的电容靠近PHY芯片PWFBIN管脚摆放。</t>
  </si>
  <si>
    <t>55</t>
  </si>
  <si>
    <t>外挂1000M PHY：
 1）REGOUT连接的电感，靠近PHY芯片摆放。
 2）VDDREG连接的电容，靠近PHY芯片摆放。
 3）RXCLK，CLK125滤波电路靠近PHY芯片摆放。
 4）TXCLK滤波电路靠近主控摆放。</t>
  </si>
  <si>
    <t>RGB LVDS</t>
  </si>
  <si>
    <t>56</t>
  </si>
  <si>
    <t>在RGB,LCD座子的附近，注意不要有一些往外凸出的接口，如VGA接口，CVBS接口，12V/5V电源接口，开关等接口。注意ESD元件摆放，参考平面完整，具体阻抗，等长需求见阻抗，等长需求表。</t>
  </si>
  <si>
    <t>MIPI</t>
  </si>
  <si>
    <t>57</t>
  </si>
  <si>
    <t>在MIPI座子的附近，注意不要有一些往外凸出的接口，如VGA接口，CVBS接口，12V/5V电源接口，开关等接口。注意ESD元件摆放，参考平面完整，具体阻抗，等长需求见阻抗，等长需求表。</t>
  </si>
  <si>
    <t>eDP</t>
  </si>
  <si>
    <t>58</t>
  </si>
  <si>
    <t>在EDP座子的附近，注意不要有一些往外凸出的接口，如VGA接口，CVBS接口，12V/5V电源接口，开关等接口。注意ESD元件摆放，参考平面完整，具体阻抗，等长需求见阻抗，等长需求表。</t>
  </si>
  <si>
    <t>ESD</t>
  </si>
  <si>
    <t>59</t>
  </si>
  <si>
    <t>CPU、DRAM、晶振器件远离外部金属接口≥20mm。</t>
  </si>
  <si>
    <t>60</t>
  </si>
  <si>
    <t>关键信号（RESET/NMI/Clock等）单线包地，远离板边≥50mil。避免与外部接口信号（USB/HDMI/SD/HP等）相邻并行走线。</t>
  </si>
  <si>
    <t>61</t>
  </si>
  <si>
    <t>reset单线包地，1nF电容靠近主控摆放，电容接地端需用过孔加强连接。</t>
  </si>
  <si>
    <t>62</t>
  </si>
  <si>
    <t>TOP层在CPU/DDR/晶体的外面预留屏蔽罩焊盘。BOTTOM层在CPU和DDR走线外面预留屏蔽罩焊盘。屏蔽罩的各边良好接地。</t>
  </si>
  <si>
    <t>63</t>
  </si>
  <si>
    <t>两层板时，尽量将走线放在TOP层，各模块CLK单线包地，各模块DATA两两包地。减少BOTTOM层走线，保持BOTTOM地平面的完整性。</t>
  </si>
  <si>
    <t>64</t>
  </si>
  <si>
    <t>四层板以上时，DDR走线不要走在BOTTOM层。</t>
  </si>
  <si>
    <t>阻抗，等长需求表</t>
  </si>
  <si>
    <t>名称 需求</t>
  </si>
  <si>
    <r>
      <rPr>
        <b/>
        <sz val="10"/>
        <rFont val="思源黑体 CN Normal"/>
        <charset val="134"/>
      </rPr>
      <t xml:space="preserve">阻抗 </t>
    </r>
    <r>
      <rPr>
        <sz val="10.5"/>
        <color theme="1"/>
        <rFont val="思源黑体 CN Normal"/>
        <charset val="134"/>
      </rPr>
      <t>ohm</t>
    </r>
  </si>
  <si>
    <t>等长和长度需求</t>
  </si>
  <si>
    <t>间距</t>
  </si>
  <si>
    <t>VIA</t>
  </si>
  <si>
    <t>元件底下掏空</t>
  </si>
  <si>
    <t>专家检查人</t>
  </si>
  <si>
    <t>专家检查结论</t>
  </si>
  <si>
    <t>高速线阻抗，等长需求表</t>
  </si>
  <si>
    <t>对内&lt;50mil，总长≤6000mil</t>
  </si>
  <si>
    <r>
      <rPr>
        <sz val="10"/>
        <rFont val="思源黑体 CN Normal"/>
        <charset val="134"/>
      </rPr>
      <t>其它</t>
    </r>
    <r>
      <rPr>
        <sz val="10.5"/>
        <color theme="1"/>
        <rFont val="思源黑体 CN Normal"/>
        <charset val="134"/>
      </rPr>
      <t>&gt;10mil</t>
    </r>
  </si>
  <si>
    <t>≤2</t>
  </si>
  <si>
    <t>否</t>
  </si>
  <si>
    <r>
      <rPr>
        <sz val="10"/>
        <rFont val="思源黑体 CN Normal"/>
        <charset val="134"/>
      </rPr>
      <t>组内和其它</t>
    </r>
    <r>
      <rPr>
        <sz val="10.5"/>
        <color theme="1"/>
        <rFont val="思源黑体 CN Normal"/>
        <charset val="134"/>
      </rPr>
      <t>&gt;20mil，</t>
    </r>
  </si>
  <si>
    <t>是</t>
  </si>
  <si>
    <r>
      <rPr>
        <sz val="10"/>
        <rFont val="思源黑体 CN Normal"/>
        <charset val="134"/>
      </rPr>
      <t>USB3.0 TX,RX  对内≤</t>
    </r>
    <r>
      <rPr>
        <sz val="10.5"/>
        <color theme="1"/>
        <rFont val="思源黑体 CN Normal"/>
        <charset val="134"/>
      </rPr>
      <t>5mil，总长≤5000mil</t>
    </r>
  </si>
  <si>
    <r>
      <rPr>
        <sz val="10"/>
        <rFont val="思源黑体 CN Normal"/>
        <charset val="134"/>
      </rPr>
      <t>板边≥</t>
    </r>
    <r>
      <rPr>
        <sz val="10.5"/>
        <color theme="1"/>
        <rFont val="思源黑体 CN Normal"/>
        <charset val="134"/>
      </rPr>
      <t>50mil</t>
    </r>
  </si>
  <si>
    <t>PCIE2.1</t>
  </si>
  <si>
    <t>对内≤5mil，总长≤5000mil</t>
  </si>
  <si>
    <t>MIPI-DSI</t>
  </si>
  <si>
    <r>
      <rPr>
        <sz val="10"/>
        <rFont val="思源黑体 CN Normal"/>
        <charset val="134"/>
      </rPr>
      <t>对内</t>
    </r>
    <r>
      <rPr>
        <sz val="10.5"/>
        <color theme="1"/>
        <rFont val="思源黑体 CN Normal"/>
        <charset val="134"/>
      </rPr>
      <t>&lt;10mil，对间&lt;160mil(1080P)</t>
    </r>
  </si>
  <si>
    <r>
      <rPr>
        <sz val="10"/>
        <rFont val="思源黑体 CN Normal"/>
        <charset val="134"/>
      </rPr>
      <t>≥</t>
    </r>
    <r>
      <rPr>
        <sz val="10.5"/>
        <color theme="1"/>
        <rFont val="思源黑体 CN Normal"/>
        <charset val="134"/>
      </rPr>
      <t>15mil</t>
    </r>
  </si>
  <si>
    <t>MIPI-CSI</t>
  </si>
  <si>
    <t>对内&lt;5mil，对间≤300mil</t>
  </si>
  <si>
    <t>clk≤2</t>
  </si>
  <si>
    <t>EDP</t>
  </si>
  <si>
    <t>对内≤5mil，总长≤3000mil</t>
  </si>
  <si>
    <r>
      <rPr>
        <sz val="10"/>
        <rFont val="思源黑体 CN Normal"/>
        <charset val="134"/>
      </rPr>
      <t>≥12mil</t>
    </r>
    <r>
      <rPr>
        <sz val="10.5"/>
        <color theme="1"/>
        <rFont val="思源黑体 CN Normal"/>
        <charset val="134"/>
      </rPr>
      <t>，包地</t>
    </r>
  </si>
  <si>
    <t>LCD/LVDS</t>
  </si>
  <si>
    <t>≥10mil</t>
  </si>
  <si>
    <t>对内&lt;10mil，对间&lt;180mil（1080P)</t>
  </si>
  <si>
    <t>对内&lt;20mil，对间&lt;450mil(720P)</t>
  </si>
  <si>
    <r>
      <rPr>
        <sz val="10"/>
        <rFont val="思源黑体 CN Normal"/>
        <charset val="134"/>
      </rPr>
      <t>内置</t>
    </r>
    <r>
      <rPr>
        <sz val="10.5"/>
        <color theme="1"/>
        <rFont val="思源黑体 CN Normal"/>
        <charset val="134"/>
      </rPr>
      <t>EPHY</t>
    </r>
  </si>
  <si>
    <r>
      <rPr>
        <sz val="10"/>
        <rFont val="思源黑体 CN Normal"/>
        <charset val="134"/>
      </rPr>
      <t>对内</t>
    </r>
    <r>
      <rPr>
        <sz val="10.5"/>
        <color theme="1"/>
        <rFont val="思源黑体 CN Normal"/>
        <charset val="134"/>
      </rPr>
      <t>&lt;20mil，对间&lt;200mil</t>
    </r>
  </si>
  <si>
    <t>≥8mil</t>
  </si>
  <si>
    <t>低速线阻抗，等长需求表</t>
  </si>
  <si>
    <t>≤2000mil;D0~D7、RE、WE相对DQS等长控制≤300mil</t>
  </si>
  <si>
    <t>D0~D7上使用过孔的数量尽量相同</t>
  </si>
  <si>
    <t>EMMC</t>
  </si>
  <si>
    <t>≤2000mil;D0~D7、DS、CMD相对CLK等长控制≤300mil</t>
  </si>
  <si>
    <t>SDIO</t>
  </si>
  <si>
    <r>
      <rPr>
        <sz val="10"/>
        <rFont val="思源黑体 CN Normal"/>
        <charset val="134"/>
      </rPr>
      <t>D0~D3、CMD相对</t>
    </r>
    <r>
      <rPr>
        <sz val="11"/>
        <color rgb="FF000000"/>
        <rFont val="思源黑体 CN Normal"/>
        <charset val="134"/>
      </rPr>
      <t>CLK等长控制≤300mil</t>
    </r>
  </si>
  <si>
    <t>D0~D3上使用过孔的数量尽量相同</t>
  </si>
  <si>
    <t>SD CARD</t>
  </si>
  <si>
    <r>
      <rPr>
        <sz val="10"/>
        <rFont val="思源黑体 CN Normal"/>
        <charset val="134"/>
      </rPr>
      <t>D0~D3、CMD相对</t>
    </r>
    <r>
      <rPr>
        <sz val="11"/>
        <color rgb="FF000000"/>
        <rFont val="思源黑体 CN Normal"/>
        <charset val="134"/>
      </rPr>
      <t>CLK等长控制&lt;500mil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</si>
</sst>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思源黑体 CN Normal"/>
      <charset val="134"/>
    </font>
    <font>
      <b/>
      <sz val="20"/>
      <name val="思源黑体 CN Normal"/>
      <charset val="134"/>
    </font>
    <font>
      <sz val="10"/>
      <name val="思源黑体 CN Normal"/>
      <charset val="134"/>
    </font>
    <font>
      <b/>
      <sz val="10"/>
      <name val="思源黑体 CN Normal"/>
      <charset val="134"/>
    </font>
    <font>
      <sz val="11"/>
      <name val="思源黑体 CN Normal"/>
      <charset val="134"/>
    </font>
    <font>
      <b/>
      <sz val="24"/>
      <color rgb="FF0000FF"/>
      <name val="思源黑体 CN Normal"/>
      <charset val="134"/>
    </font>
    <font>
      <b/>
      <sz val="24"/>
      <color indexed="12"/>
      <name val="思源黑体 CN Normal"/>
      <charset val="134"/>
    </font>
    <font>
      <sz val="24"/>
      <name val="思源黑体 CN Normal"/>
      <charset val="134"/>
    </font>
    <font>
      <b/>
      <sz val="10"/>
      <color indexed="8"/>
      <name val="思源黑体 CN Normal"/>
      <charset val="134"/>
    </font>
    <font>
      <sz val="10"/>
      <color rgb="FF0631EA"/>
      <name val="思源黑体 CN Normal"/>
      <charset val="134"/>
    </font>
    <font>
      <sz val="10"/>
      <color rgb="FF1602D8"/>
      <name val="思源黑体 CN Normal"/>
      <charset val="134"/>
    </font>
    <font>
      <b/>
      <sz val="10"/>
      <color rgb="FF007835"/>
      <name val="思源黑体 CN Normal"/>
      <charset val="134"/>
    </font>
    <font>
      <b/>
      <sz val="24"/>
      <name val="思源黑体 CN Normal"/>
      <charset val="134"/>
    </font>
    <font>
      <sz val="10"/>
      <color theme="1"/>
      <name val="思源黑体 CN Normal"/>
      <charset val="134"/>
    </font>
    <font>
      <sz val="10"/>
      <color rgb="FFFF0000"/>
      <name val="思源黑体 CN Normal"/>
      <charset val="134"/>
    </font>
    <font>
      <sz val="18"/>
      <color theme="1"/>
      <name val="思源黑体 CN Medium"/>
      <charset val="134"/>
    </font>
    <font>
      <b/>
      <sz val="11"/>
      <color theme="1"/>
      <name val="思源黑体 CN Normal"/>
      <charset val="134"/>
    </font>
    <font>
      <sz val="11"/>
      <color rgb="FF00B0F0"/>
      <name val="思源黑体 CN Norm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Times New Roman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思源黑体 CN Normal"/>
      <charset val="134"/>
    </font>
    <font>
      <sz val="11"/>
      <color rgb="FF000000"/>
      <name val="思源黑体 CN Normal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EAF3B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0"/>
    <xf numFmtId="0" fontId="31" fillId="0" borderId="14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2" fillId="17" borderId="16" applyNumberFormat="0" applyAlignment="0" applyProtection="0">
      <alignment vertical="center"/>
    </xf>
    <xf numFmtId="0" fontId="33" fillId="17" borderId="12" applyNumberFormat="0" applyAlignment="0" applyProtection="0">
      <alignment vertical="center"/>
    </xf>
    <xf numFmtId="0" fontId="34" fillId="18" borderId="1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49" fontId="1" fillId="0" borderId="1">
      <alignment vertical="center" wrapText="1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0" fillId="0" borderId="0"/>
    <xf numFmtId="49" fontId="39" fillId="7" borderId="1">
      <alignment vertical="center" wrapText="1"/>
    </xf>
  </cellStyleXfs>
  <cellXfs count="7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51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0" fontId="3" fillId="5" borderId="1" xfId="2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20" applyNumberFormat="1" applyFont="1" applyBorder="1" applyAlignment="1" applyProtection="1">
      <alignment horizontal="center"/>
      <protection locked="0"/>
    </xf>
    <xf numFmtId="0" fontId="7" fillId="0" borderId="0" xfId="20" applyNumberFormat="1" applyFont="1" applyBorder="1" applyAlignment="1" applyProtection="1">
      <alignment horizontal="center"/>
      <protection locked="0"/>
    </xf>
    <xf numFmtId="0" fontId="8" fillId="0" borderId="0" xfId="0" applyFont="1" applyFill="1" applyBorder="1" applyAlignment="1">
      <alignment horizontal="center"/>
    </xf>
    <xf numFmtId="0" fontId="4" fillId="6" borderId="1" xfId="20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20" applyNumberFormat="1" applyFont="1" applyFill="1" applyBorder="1" applyAlignment="1" applyProtection="1">
      <alignment vertical="center" wrapText="1"/>
      <protection locked="0"/>
    </xf>
    <xf numFmtId="0" fontId="4" fillId="6" borderId="1" xfId="20" applyNumberFormat="1" applyFont="1" applyFill="1" applyBorder="1" applyAlignment="1" applyProtection="1">
      <alignment vertical="center" wrapText="1"/>
      <protection locked="0"/>
    </xf>
    <xf numFmtId="0" fontId="3" fillId="6" borderId="1" xfId="20" applyNumberFormat="1" applyFont="1" applyFill="1" applyBorder="1" applyAlignment="1" applyProtection="1">
      <alignment vertical="center" wrapText="1"/>
    </xf>
    <xf numFmtId="0" fontId="10" fillId="6" borderId="1" xfId="20" applyNumberFormat="1" applyFont="1" applyFill="1" applyBorder="1" applyAlignment="1" applyProtection="1">
      <alignment horizontal="center" vertical="center" wrapText="1"/>
    </xf>
    <xf numFmtId="10" fontId="11" fillId="6" borderId="1" xfId="20" applyNumberFormat="1" applyFont="1" applyFill="1" applyBorder="1" applyAlignment="1" applyProtection="1">
      <alignment horizontal="center" vertical="center" wrapText="1"/>
    </xf>
    <xf numFmtId="0" fontId="4" fillId="6" borderId="1" xfId="20" applyNumberFormat="1" applyFont="1" applyFill="1" applyBorder="1" applyAlignment="1" applyProtection="1">
      <alignment horizontal="left" vertical="center" wrapText="1"/>
      <protection locked="0"/>
    </xf>
    <xf numFmtId="0" fontId="4" fillId="2" borderId="1" xfId="2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20" applyNumberFormat="1" applyFont="1" applyFill="1" applyBorder="1" applyAlignment="1" applyProtection="1">
      <alignment vertical="center" wrapText="1"/>
      <protection locked="0"/>
    </xf>
    <xf numFmtId="0" fontId="12" fillId="2" borderId="6" xfId="0" applyFont="1" applyFill="1" applyBorder="1" applyAlignment="1" applyProtection="1">
      <alignment vertical="center" wrapText="1"/>
      <protection locked="0"/>
    </xf>
    <xf numFmtId="0" fontId="4" fillId="2" borderId="1" xfId="20" applyNumberFormat="1" applyFont="1" applyFill="1" applyBorder="1" applyAlignment="1" applyProtection="1">
      <alignment horizontal="left" vertical="center" wrapText="1"/>
      <protection locked="0"/>
    </xf>
    <xf numFmtId="0" fontId="4" fillId="3" borderId="7" xfId="51" applyNumberFormat="1" applyFont="1" applyFill="1" applyBorder="1" applyAlignment="1">
      <alignment vertical="center" wrapText="1"/>
    </xf>
    <xf numFmtId="0" fontId="4" fillId="3" borderId="7" xfId="0" applyNumberFormat="1" applyFont="1" applyFill="1" applyBorder="1" applyAlignment="1">
      <alignment vertical="center" wrapText="1"/>
    </xf>
    <xf numFmtId="0" fontId="4" fillId="3" borderId="7" xfId="51" applyNumberFormat="1" applyFont="1" applyFill="1" applyBorder="1" applyAlignment="1" applyProtection="1">
      <alignment horizontal="center" vertical="center" wrapText="1"/>
      <protection locked="0"/>
    </xf>
    <xf numFmtId="0" fontId="4" fillId="3" borderId="7" xfId="51" applyNumberFormat="1" applyFont="1" applyFill="1" applyBorder="1" applyAlignment="1">
      <alignment horizontal="center" vertical="center" wrapText="1"/>
    </xf>
    <xf numFmtId="0" fontId="4" fillId="3" borderId="6" xfId="51" applyNumberFormat="1" applyFont="1" applyFill="1" applyBorder="1" applyAlignment="1">
      <alignment horizontal="center" vertical="center" wrapText="1"/>
    </xf>
    <xf numFmtId="0" fontId="4" fillId="3" borderId="8" xfId="51" applyNumberFormat="1" applyFont="1" applyFill="1" applyBorder="1" applyAlignment="1">
      <alignment horizontal="center" vertical="center" wrapText="1"/>
    </xf>
    <xf numFmtId="0" fontId="4" fillId="3" borderId="9" xfId="51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left" vertical="center" wrapText="1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left" vertical="top" wrapText="1"/>
    </xf>
    <xf numFmtId="49" fontId="3" fillId="2" borderId="10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13" fillId="0" borderId="0" xfId="20" applyNumberFormat="1" applyFont="1" applyBorder="1" applyAlignment="1" applyProtection="1">
      <alignment horizontal="center"/>
      <protection locked="0"/>
    </xf>
    <xf numFmtId="0" fontId="3" fillId="6" borderId="1" xfId="20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Fill="1" applyAlignment="1">
      <alignment vertical="center"/>
    </xf>
    <xf numFmtId="0" fontId="3" fillId="2" borderId="6" xfId="0" applyFont="1" applyFill="1" applyBorder="1" applyAlignment="1" applyProtection="1">
      <alignment vertical="center" wrapText="1"/>
      <protection locked="0"/>
    </xf>
    <xf numFmtId="0" fontId="15" fillId="2" borderId="1" xfId="0" applyFont="1" applyFill="1" applyBorder="1" applyAlignment="1" applyProtection="1">
      <alignment vertical="center" wrapText="1"/>
      <protection locked="0"/>
    </xf>
    <xf numFmtId="0" fontId="14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49" fontId="16" fillId="0" borderId="0" xfId="46" applyFont="1" applyFill="1" applyBorder="1" applyAlignment="1">
      <alignment horizontal="center" vertical="center" wrapText="1"/>
    </xf>
    <xf numFmtId="49" fontId="17" fillId="7" borderId="1" xfId="52" applyFont="1">
      <alignment vertical="center" wrapText="1"/>
    </xf>
    <xf numFmtId="49" fontId="1" fillId="0" borderId="1" xfId="46" applyBorder="1">
      <alignment vertical="center" wrapText="1"/>
    </xf>
    <xf numFmtId="49" fontId="1" fillId="0" borderId="1" xfId="46" applyBorder="1" applyAlignment="1">
      <alignment horizontal="center" vertical="center" wrapText="1"/>
    </xf>
    <xf numFmtId="49" fontId="18" fillId="0" borderId="1" xfId="46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表格正文" xfId="46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Sheet1" xfId="51"/>
    <cellStyle name="表格标题（灰底）" xfId="52"/>
  </cellStyles>
  <dxfs count="5">
    <dxf>
      <fill>
        <patternFill patternType="solid">
          <b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9EEFF8"/>
        </patternFill>
      </fill>
    </dxf>
  </dxfs>
  <tableStyles count="0" defaultTableStyle="TableStyleMedium2" defaultPivotStyle="PivotStyleLight16"/>
  <colors>
    <mruColors>
      <color rgb="000078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399415</xdr:colOff>
      <xdr:row>0</xdr:row>
      <xdr:rowOff>150495</xdr:rowOff>
    </xdr:from>
    <xdr:to>
      <xdr:col>2</xdr:col>
      <xdr:colOff>1002030</xdr:colOff>
      <xdr:row>1</xdr:row>
      <xdr:rowOff>595630</xdr:rowOff>
    </xdr:to>
    <xdr:pic>
      <xdr:nvPicPr>
        <xdr:cNvPr id="2" name="图片 1" descr="公司LOGO（PNG）格式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9415" y="150495"/>
          <a:ext cx="1727835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133985</xdr:colOff>
      <xdr:row>22</xdr:row>
      <xdr:rowOff>125730</xdr:rowOff>
    </xdr:from>
    <xdr:to>
      <xdr:col>6</xdr:col>
      <xdr:colOff>711835</xdr:colOff>
      <xdr:row>22</xdr:row>
      <xdr:rowOff>125730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02145" y="6342380"/>
          <a:ext cx="208407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O17" sqref="O17"/>
    </sheetView>
  </sheetViews>
  <sheetFormatPr defaultColWidth="9" defaultRowHeight="13.5" outlineLevelCol="4"/>
  <cols>
    <col min="1" max="1" width="7.49166666666667" style="64" customWidth="1"/>
    <col min="2" max="2" width="15.6333333333333" style="64" customWidth="1"/>
    <col min="3" max="3" width="10.75" style="64" customWidth="1"/>
    <col min="4" max="4" width="8.525" style="64" customWidth="1"/>
    <col min="5" max="5" width="45.4333333333333" style="64" customWidth="1"/>
    <col min="6" max="6" width="9" style="65"/>
    <col min="7" max="13" width="7.13333333333333" style="65" customWidth="1"/>
    <col min="14" max="16384" width="9" style="65"/>
  </cols>
  <sheetData>
    <row r="1" ht="68" customHeight="1" spans="1:5">
      <c r="A1" s="66" t="s">
        <v>0</v>
      </c>
      <c r="B1" s="66"/>
      <c r="C1" s="66"/>
      <c r="D1" s="66"/>
      <c r="E1" s="66"/>
    </row>
    <row r="2" ht="17.25" spans="1:5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</row>
    <row r="3" ht="17.25" spans="1:5">
      <c r="A3" s="68" t="s">
        <v>6</v>
      </c>
      <c r="B3" s="69" t="s">
        <v>7</v>
      </c>
      <c r="C3" s="68" t="s">
        <v>8</v>
      </c>
      <c r="D3" s="68"/>
      <c r="E3" s="68" t="s">
        <v>9</v>
      </c>
    </row>
    <row r="4" ht="17.25" spans="1:5">
      <c r="A4" s="70"/>
      <c r="B4" s="70"/>
      <c r="C4" s="70"/>
      <c r="D4" s="70"/>
      <c r="E4" s="70"/>
    </row>
    <row r="5" ht="17.25" spans="1:5">
      <c r="A5" s="70"/>
      <c r="B5" s="70"/>
      <c r="C5" s="70"/>
      <c r="D5" s="70"/>
      <c r="E5" s="70"/>
    </row>
    <row r="6" ht="17.25" spans="1:5">
      <c r="A6" s="70"/>
      <c r="B6" s="70"/>
      <c r="C6" s="70"/>
      <c r="D6" s="70"/>
      <c r="E6" s="70"/>
    </row>
    <row r="7" ht="17.25" spans="1:5">
      <c r="A7" s="70"/>
      <c r="B7" s="70"/>
      <c r="C7" s="70"/>
      <c r="D7" s="70"/>
      <c r="E7" s="70"/>
    </row>
    <row r="8" ht="15.75" customHeight="1" spans="1:5">
      <c r="A8" s="70"/>
      <c r="B8" s="70"/>
      <c r="C8" s="70"/>
      <c r="D8" s="70"/>
      <c r="E8" s="70"/>
    </row>
    <row r="9" ht="30" customHeight="1" spans="1:5">
      <c r="A9" s="70"/>
      <c r="B9" s="70"/>
      <c r="C9" s="70"/>
      <c r="D9" s="70"/>
      <c r="E9" s="70"/>
    </row>
    <row r="10" spans="1:5">
      <c r="A10" s="71"/>
      <c r="B10" s="71"/>
      <c r="C10" s="71"/>
      <c r="D10" s="71"/>
      <c r="E10" s="71"/>
    </row>
    <row r="11" ht="78" customHeight="1" spans="1:5">
      <c r="A11" s="72" t="s">
        <v>10</v>
      </c>
      <c r="B11" s="72"/>
      <c r="C11" s="72"/>
      <c r="D11" s="72"/>
      <c r="E11" s="72"/>
    </row>
  </sheetData>
  <mergeCells count="2">
    <mergeCell ref="A1:E1"/>
    <mergeCell ref="A11:E11"/>
  </mergeCells>
  <pageMargins left="0.7076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tabSelected="1" workbookViewId="0">
      <pane xSplit="2" topLeftCell="C1" activePane="topRight" state="frozen"/>
      <selection/>
      <selection pane="topRight" activeCell="F66" sqref="F66:H66"/>
    </sheetView>
  </sheetViews>
  <sheetFormatPr defaultColWidth="9" defaultRowHeight="17.25"/>
  <cols>
    <col min="1" max="1" width="11.1333333333333" style="19" customWidth="1"/>
    <col min="2" max="2" width="3.63333333333333" style="20" customWidth="1"/>
    <col min="3" max="3" width="69.1166666666667" style="20" customWidth="1"/>
    <col min="4" max="4" width="6.25" style="20" customWidth="1"/>
    <col min="5" max="5" width="7.13333333333333" style="20" customWidth="1"/>
    <col min="6" max="8" width="12.6333333333333" style="20" customWidth="1"/>
    <col min="9" max="9" width="7.13333333333333" style="21" customWidth="1"/>
    <col min="10" max="10" width="53.3833333333333" style="20" customWidth="1"/>
    <col min="11" max="16384" width="9" style="20"/>
  </cols>
  <sheetData>
    <row r="1" ht="13.5" spans="1:10">
      <c r="A1" s="22" t="s">
        <v>11</v>
      </c>
      <c r="B1" s="23"/>
      <c r="C1" s="23"/>
      <c r="D1" s="23"/>
      <c r="E1" s="23"/>
      <c r="F1" s="23"/>
      <c r="G1" s="23"/>
      <c r="H1" s="23"/>
      <c r="I1" s="57"/>
      <c r="J1" s="23"/>
    </row>
    <row r="2" ht="56" customHeight="1" spans="1:10">
      <c r="A2" s="24"/>
      <c r="B2" s="24"/>
      <c r="C2" s="24"/>
      <c r="D2" s="24"/>
      <c r="E2" s="24"/>
      <c r="F2" s="24"/>
      <c r="G2" s="24"/>
      <c r="H2" s="24"/>
      <c r="I2" s="24"/>
      <c r="J2" s="24"/>
    </row>
    <row r="3" ht="15" spans="1:11">
      <c r="A3" s="25" t="s">
        <v>12</v>
      </c>
      <c r="B3" s="25"/>
      <c r="C3" s="26"/>
      <c r="D3" s="27" t="s">
        <v>13</v>
      </c>
      <c r="E3" s="25" t="s">
        <v>14</v>
      </c>
      <c r="F3" s="25" t="s">
        <v>15</v>
      </c>
      <c r="G3" s="25" t="s">
        <v>16</v>
      </c>
      <c r="H3" s="25" t="s">
        <v>17</v>
      </c>
      <c r="I3" s="58"/>
      <c r="J3" s="58"/>
      <c r="K3" s="59"/>
    </row>
    <row r="4" ht="15" spans="1:11">
      <c r="A4" s="25" t="s">
        <v>18</v>
      </c>
      <c r="B4" s="25"/>
      <c r="C4" s="26"/>
      <c r="D4" s="28" t="s">
        <v>19</v>
      </c>
      <c r="E4" s="29">
        <f>COUNTIF(D9:D203,"建议")</f>
        <v>9</v>
      </c>
      <c r="F4" s="29">
        <f>(COUNTIFS(D9:D203,"建议",I9:I203,"不通过"))</f>
        <v>0</v>
      </c>
      <c r="G4" s="29">
        <f>(COUNTIFS(D9:D203,"建议",E9:E203,"不涉及"))</f>
        <v>0</v>
      </c>
      <c r="H4" s="30">
        <f>(E4-F4-G4)/(E4-G4)</f>
        <v>1</v>
      </c>
      <c r="I4" s="58" t="s">
        <v>20</v>
      </c>
      <c r="J4" s="58"/>
      <c r="K4" s="59"/>
    </row>
    <row r="5" ht="15" spans="1:11">
      <c r="A5" s="25" t="s">
        <v>21</v>
      </c>
      <c r="B5" s="25"/>
      <c r="C5" s="26"/>
      <c r="D5" s="28" t="s">
        <v>22</v>
      </c>
      <c r="E5" s="29">
        <f>COUNTIF(D9:D203,"规则")</f>
        <v>54</v>
      </c>
      <c r="F5" s="29">
        <f>(COUNTIFS(D9:D204,"规则",I9:I204,"不通过"))</f>
        <v>2</v>
      </c>
      <c r="G5" s="29">
        <f>(COUNTIFS(D9:D204,"规则",E9:E204,"不涉及"))</f>
        <v>0</v>
      </c>
      <c r="H5" s="30">
        <f>(E5-F5-G5)/(E5-G5)</f>
        <v>0.962962962962963</v>
      </c>
      <c r="I5" s="58" t="s">
        <v>23</v>
      </c>
      <c r="J5" s="58"/>
      <c r="K5" s="59"/>
    </row>
    <row r="6" ht="15" spans="1:11">
      <c r="A6" s="25" t="s">
        <v>4</v>
      </c>
      <c r="B6" s="25"/>
      <c r="C6" s="26"/>
      <c r="D6" s="27"/>
      <c r="E6" s="31"/>
      <c r="F6" s="32"/>
      <c r="G6" s="32"/>
      <c r="H6" s="33"/>
      <c r="I6" s="33"/>
      <c r="J6" s="33"/>
      <c r="K6" s="59"/>
    </row>
    <row r="7" ht="15" spans="1:11">
      <c r="A7" s="25" t="s">
        <v>24</v>
      </c>
      <c r="B7" s="25"/>
      <c r="C7" s="34" t="s">
        <v>25</v>
      </c>
      <c r="D7" s="27"/>
      <c r="E7" s="27"/>
      <c r="F7" s="35"/>
      <c r="G7" s="35"/>
      <c r="H7" s="35"/>
      <c r="I7" s="35"/>
      <c r="J7" s="35"/>
      <c r="K7" s="59"/>
    </row>
    <row r="8" ht="30" spans="1:11">
      <c r="A8" s="36" t="s">
        <v>26</v>
      </c>
      <c r="B8" s="37" t="s">
        <v>27</v>
      </c>
      <c r="C8" s="38" t="s">
        <v>28</v>
      </c>
      <c r="D8" s="39" t="s">
        <v>13</v>
      </c>
      <c r="E8" s="39" t="s">
        <v>29</v>
      </c>
      <c r="F8" s="40" t="s">
        <v>30</v>
      </c>
      <c r="G8" s="41"/>
      <c r="H8" s="42"/>
      <c r="I8" s="39" t="s">
        <v>31</v>
      </c>
      <c r="J8" s="39" t="s">
        <v>32</v>
      </c>
      <c r="K8" s="59"/>
    </row>
    <row r="9" ht="30" spans="1:11">
      <c r="A9" s="43" t="s">
        <v>33</v>
      </c>
      <c r="B9" s="44" t="s">
        <v>34</v>
      </c>
      <c r="C9" s="45" t="s">
        <v>35</v>
      </c>
      <c r="D9" s="11" t="s">
        <v>22</v>
      </c>
      <c r="E9" s="15" t="s">
        <v>36</v>
      </c>
      <c r="F9" s="46"/>
      <c r="G9" s="47"/>
      <c r="H9" s="47"/>
      <c r="I9" s="60" t="s">
        <v>37</v>
      </c>
      <c r="J9" s="17"/>
      <c r="K9" s="59"/>
    </row>
    <row r="10" ht="30" spans="1:11">
      <c r="A10" s="48"/>
      <c r="B10" s="44" t="s">
        <v>38</v>
      </c>
      <c r="C10" s="45" t="s">
        <v>39</v>
      </c>
      <c r="D10" s="11" t="s">
        <v>22</v>
      </c>
      <c r="E10" s="15" t="s">
        <v>36</v>
      </c>
      <c r="F10" s="46"/>
      <c r="G10" s="47"/>
      <c r="H10" s="47"/>
      <c r="I10" s="60" t="s">
        <v>37</v>
      </c>
      <c r="J10" s="17"/>
      <c r="K10" s="59"/>
    </row>
    <row r="11" ht="15" spans="1:11">
      <c r="A11" s="48"/>
      <c r="B11" s="44" t="s">
        <v>40</v>
      </c>
      <c r="C11" s="45" t="s">
        <v>41</v>
      </c>
      <c r="D11" s="11" t="s">
        <v>22</v>
      </c>
      <c r="E11" s="15" t="s">
        <v>36</v>
      </c>
      <c r="F11" s="46"/>
      <c r="G11" s="47"/>
      <c r="H11" s="47"/>
      <c r="I11" s="60" t="s">
        <v>25</v>
      </c>
      <c r="J11" s="17"/>
      <c r="K11" s="59"/>
    </row>
    <row r="12" ht="30" spans="1:11">
      <c r="A12" s="43" t="s">
        <v>42</v>
      </c>
      <c r="B12" s="44" t="s">
        <v>43</v>
      </c>
      <c r="C12" s="49" t="s">
        <v>44</v>
      </c>
      <c r="D12" s="50" t="s">
        <v>19</v>
      </c>
      <c r="E12" s="15" t="s">
        <v>36</v>
      </c>
      <c r="F12" s="46"/>
      <c r="G12" s="47"/>
      <c r="H12" s="47"/>
      <c r="I12" s="60" t="s">
        <v>25</v>
      </c>
      <c r="J12" s="17"/>
      <c r="K12" s="59"/>
    </row>
    <row r="13" ht="15" spans="1:11">
      <c r="A13" s="48"/>
      <c r="B13" s="44" t="s">
        <v>45</v>
      </c>
      <c r="C13" s="51" t="s">
        <v>46</v>
      </c>
      <c r="D13" s="50" t="s">
        <v>22</v>
      </c>
      <c r="E13" s="15" t="s">
        <v>36</v>
      </c>
      <c r="F13" s="46"/>
      <c r="G13" s="47"/>
      <c r="H13" s="47"/>
      <c r="I13" s="60" t="s">
        <v>25</v>
      </c>
      <c r="J13" s="17"/>
      <c r="K13" s="59"/>
    </row>
    <row r="14" ht="30" spans="1:11">
      <c r="A14" s="48"/>
      <c r="B14" s="44" t="s">
        <v>47</v>
      </c>
      <c r="C14" s="51" t="s">
        <v>48</v>
      </c>
      <c r="D14" s="50" t="s">
        <v>22</v>
      </c>
      <c r="E14" s="15" t="s">
        <v>36</v>
      </c>
      <c r="F14" s="46"/>
      <c r="G14" s="47"/>
      <c r="H14" s="47"/>
      <c r="I14" s="60" t="s">
        <v>25</v>
      </c>
      <c r="J14" s="17"/>
      <c r="K14" s="59"/>
    </row>
    <row r="15" ht="30" spans="1:11">
      <c r="A15" s="43" t="s">
        <v>49</v>
      </c>
      <c r="B15" s="44" t="s">
        <v>50</v>
      </c>
      <c r="C15" s="51" t="s">
        <v>51</v>
      </c>
      <c r="D15" s="50" t="s">
        <v>22</v>
      </c>
      <c r="E15" s="15" t="s">
        <v>36</v>
      </c>
      <c r="F15" s="46"/>
      <c r="G15" s="47"/>
      <c r="H15" s="47"/>
      <c r="I15" s="60" t="s">
        <v>25</v>
      </c>
      <c r="J15" s="17"/>
      <c r="K15" s="59"/>
    </row>
    <row r="16" ht="45" spans="1:11">
      <c r="A16" s="48"/>
      <c r="B16" s="44" t="s">
        <v>52</v>
      </c>
      <c r="C16" s="51" t="s">
        <v>53</v>
      </c>
      <c r="D16" s="11" t="s">
        <v>22</v>
      </c>
      <c r="E16" s="15" t="s">
        <v>36</v>
      </c>
      <c r="F16" s="46"/>
      <c r="G16" s="47"/>
      <c r="H16" s="47"/>
      <c r="I16" s="60" t="s">
        <v>25</v>
      </c>
      <c r="J16" s="17"/>
      <c r="K16" s="59"/>
    </row>
    <row r="17" ht="15" spans="1:11">
      <c r="A17" s="48"/>
      <c r="B17" s="44" t="s">
        <v>54</v>
      </c>
      <c r="C17" s="51" t="s">
        <v>55</v>
      </c>
      <c r="D17" s="11" t="s">
        <v>22</v>
      </c>
      <c r="E17" s="15" t="s">
        <v>36</v>
      </c>
      <c r="F17" s="46"/>
      <c r="G17" s="47"/>
      <c r="H17" s="47"/>
      <c r="I17" s="60" t="s">
        <v>25</v>
      </c>
      <c r="J17" s="17"/>
      <c r="K17" s="59"/>
    </row>
    <row r="18" ht="15" spans="1:11">
      <c r="A18" s="48"/>
      <c r="B18" s="44" t="s">
        <v>56</v>
      </c>
      <c r="C18" s="51" t="s">
        <v>57</v>
      </c>
      <c r="D18" s="11" t="s">
        <v>22</v>
      </c>
      <c r="E18" s="15" t="s">
        <v>36</v>
      </c>
      <c r="F18" s="46"/>
      <c r="G18" s="47"/>
      <c r="H18" s="47"/>
      <c r="I18" s="60" t="s">
        <v>25</v>
      </c>
      <c r="J18" s="17"/>
      <c r="K18" s="59"/>
    </row>
    <row r="19" ht="15" spans="1:11">
      <c r="A19" s="48"/>
      <c r="B19" s="44" t="s">
        <v>58</v>
      </c>
      <c r="C19" s="51" t="s">
        <v>59</v>
      </c>
      <c r="D19" s="11" t="s">
        <v>22</v>
      </c>
      <c r="E19" s="15" t="s">
        <v>36</v>
      </c>
      <c r="F19" s="46"/>
      <c r="G19" s="47"/>
      <c r="H19" s="47"/>
      <c r="I19" s="60" t="s">
        <v>25</v>
      </c>
      <c r="J19" s="17"/>
      <c r="K19" s="59"/>
    </row>
    <row r="20" ht="15" spans="1:11">
      <c r="A20" s="48"/>
      <c r="B20" s="44" t="s">
        <v>60</v>
      </c>
      <c r="C20" s="51" t="s">
        <v>61</v>
      </c>
      <c r="D20" s="11" t="s">
        <v>22</v>
      </c>
      <c r="E20" s="15" t="s">
        <v>36</v>
      </c>
      <c r="F20" s="46"/>
      <c r="G20" s="47"/>
      <c r="H20" s="47"/>
      <c r="I20" s="60" t="s">
        <v>25</v>
      </c>
      <c r="J20" s="17"/>
      <c r="K20" s="59"/>
    </row>
    <row r="21" ht="15" spans="1:11">
      <c r="A21" s="48"/>
      <c r="B21" s="44" t="s">
        <v>62</v>
      </c>
      <c r="C21" s="51" t="s">
        <v>63</v>
      </c>
      <c r="D21" s="11" t="s">
        <v>22</v>
      </c>
      <c r="E21" s="15" t="s">
        <v>36</v>
      </c>
      <c r="F21" s="46"/>
      <c r="G21" s="47"/>
      <c r="H21" s="47"/>
      <c r="I21" s="60" t="s">
        <v>25</v>
      </c>
      <c r="J21" s="17"/>
      <c r="K21" s="59"/>
    </row>
    <row r="22" ht="15" spans="1:11">
      <c r="A22" s="43" t="s">
        <v>64</v>
      </c>
      <c r="B22" s="44" t="s">
        <v>65</v>
      </c>
      <c r="C22" s="51" t="s">
        <v>66</v>
      </c>
      <c r="D22" s="50" t="s">
        <v>22</v>
      </c>
      <c r="E22" s="15" t="s">
        <v>36</v>
      </c>
      <c r="F22" s="46"/>
      <c r="G22" s="47"/>
      <c r="H22" s="47"/>
      <c r="I22" s="60" t="s">
        <v>25</v>
      </c>
      <c r="J22" s="17"/>
      <c r="K22" s="59"/>
    </row>
    <row r="23" ht="30" spans="1:11">
      <c r="A23" s="48"/>
      <c r="B23" s="44" t="s">
        <v>67</v>
      </c>
      <c r="C23" s="51" t="s">
        <v>68</v>
      </c>
      <c r="D23" s="50" t="s">
        <v>22</v>
      </c>
      <c r="E23" s="15" t="s">
        <v>36</v>
      </c>
      <c r="F23" s="46"/>
      <c r="G23" s="47"/>
      <c r="H23" s="47"/>
      <c r="I23" s="60" t="s">
        <v>25</v>
      </c>
      <c r="J23" s="17"/>
      <c r="K23" s="59"/>
    </row>
    <row r="24" ht="30" spans="1:11">
      <c r="A24" s="48"/>
      <c r="B24" s="44" t="s">
        <v>69</v>
      </c>
      <c r="C24" s="51" t="s">
        <v>70</v>
      </c>
      <c r="D24" s="11" t="s">
        <v>22</v>
      </c>
      <c r="E24" s="15" t="s">
        <v>36</v>
      </c>
      <c r="F24" s="46"/>
      <c r="G24" s="47"/>
      <c r="H24" s="47"/>
      <c r="I24" s="60" t="s">
        <v>25</v>
      </c>
      <c r="J24" s="17"/>
      <c r="K24" s="59"/>
    </row>
    <row r="25" ht="30" spans="1:11">
      <c r="A25" s="48"/>
      <c r="B25" s="44" t="s">
        <v>71</v>
      </c>
      <c r="C25" s="51" t="s">
        <v>72</v>
      </c>
      <c r="D25" s="11" t="s">
        <v>22</v>
      </c>
      <c r="E25" s="15" t="s">
        <v>36</v>
      </c>
      <c r="F25" s="46"/>
      <c r="G25" s="47"/>
      <c r="H25" s="47"/>
      <c r="I25" s="60" t="s">
        <v>25</v>
      </c>
      <c r="J25" s="17"/>
      <c r="K25" s="59"/>
    </row>
    <row r="26" ht="15" spans="1:11">
      <c r="A26" s="48"/>
      <c r="B26" s="44" t="s">
        <v>73</v>
      </c>
      <c r="C26" s="51" t="s">
        <v>74</v>
      </c>
      <c r="D26" s="50" t="s">
        <v>22</v>
      </c>
      <c r="E26" s="15" t="s">
        <v>36</v>
      </c>
      <c r="F26" s="46"/>
      <c r="G26" s="47"/>
      <c r="H26" s="47"/>
      <c r="I26" s="60" t="s">
        <v>25</v>
      </c>
      <c r="J26" s="61"/>
      <c r="K26" s="59"/>
    </row>
    <row r="27" ht="30" spans="1:11">
      <c r="A27" s="48"/>
      <c r="B27" s="44" t="s">
        <v>75</v>
      </c>
      <c r="C27" s="51" t="s">
        <v>76</v>
      </c>
      <c r="D27" s="50" t="s">
        <v>22</v>
      </c>
      <c r="E27" s="15" t="s">
        <v>36</v>
      </c>
      <c r="F27" s="46"/>
      <c r="G27" s="47"/>
      <c r="H27" s="47"/>
      <c r="I27" s="60" t="s">
        <v>25</v>
      </c>
      <c r="J27" s="61"/>
      <c r="K27" s="59"/>
    </row>
    <row r="28" ht="15" spans="1:11">
      <c r="A28" s="43" t="s">
        <v>77</v>
      </c>
      <c r="B28" s="44" t="s">
        <v>78</v>
      </c>
      <c r="C28" s="51" t="s">
        <v>79</v>
      </c>
      <c r="D28" s="50" t="s">
        <v>22</v>
      </c>
      <c r="E28" s="15" t="s">
        <v>36</v>
      </c>
      <c r="F28" s="46"/>
      <c r="G28" s="47"/>
      <c r="H28" s="47"/>
      <c r="I28" s="60" t="s">
        <v>25</v>
      </c>
      <c r="J28" s="17"/>
      <c r="K28" s="59"/>
    </row>
    <row r="29" ht="15" spans="1:11">
      <c r="A29" s="48"/>
      <c r="B29" s="44" t="s">
        <v>80</v>
      </c>
      <c r="C29" s="51" t="s">
        <v>81</v>
      </c>
      <c r="D29" s="50" t="s">
        <v>22</v>
      </c>
      <c r="E29" s="15" t="s">
        <v>36</v>
      </c>
      <c r="F29" s="46"/>
      <c r="G29" s="47"/>
      <c r="H29" s="47"/>
      <c r="I29" s="60" t="s">
        <v>25</v>
      </c>
      <c r="J29" s="17"/>
      <c r="K29" s="59"/>
    </row>
    <row r="30" ht="15" spans="1:11">
      <c r="A30" s="48"/>
      <c r="B30" s="44" t="s">
        <v>82</v>
      </c>
      <c r="C30" s="51" t="s">
        <v>83</v>
      </c>
      <c r="D30" s="11" t="s">
        <v>22</v>
      </c>
      <c r="E30" s="15" t="s">
        <v>36</v>
      </c>
      <c r="F30" s="46"/>
      <c r="G30" s="47"/>
      <c r="H30" s="47"/>
      <c r="I30" s="60" t="s">
        <v>25</v>
      </c>
      <c r="J30" s="17"/>
      <c r="K30" s="59"/>
    </row>
    <row r="31" ht="15" spans="1:11">
      <c r="A31" s="48"/>
      <c r="B31" s="44" t="s">
        <v>84</v>
      </c>
      <c r="C31" s="51" t="s">
        <v>85</v>
      </c>
      <c r="D31" s="50" t="s">
        <v>22</v>
      </c>
      <c r="E31" s="15" t="s">
        <v>36</v>
      </c>
      <c r="F31" s="46"/>
      <c r="G31" s="47"/>
      <c r="H31" s="47"/>
      <c r="I31" s="60" t="s">
        <v>25</v>
      </c>
      <c r="J31" s="17"/>
      <c r="K31" s="59"/>
    </row>
    <row r="32" ht="15" spans="1:11">
      <c r="A32" s="48"/>
      <c r="B32" s="44" t="s">
        <v>86</v>
      </c>
      <c r="C32" s="51" t="s">
        <v>87</v>
      </c>
      <c r="D32" s="11" t="s">
        <v>22</v>
      </c>
      <c r="E32" s="15" t="s">
        <v>36</v>
      </c>
      <c r="F32" s="46"/>
      <c r="G32" s="47"/>
      <c r="H32" s="47"/>
      <c r="I32" s="60" t="s">
        <v>25</v>
      </c>
      <c r="J32" s="17"/>
      <c r="K32" s="59"/>
    </row>
    <row r="33" ht="15" spans="1:11">
      <c r="A33" s="43" t="s">
        <v>88</v>
      </c>
      <c r="B33" s="44" t="s">
        <v>89</v>
      </c>
      <c r="C33" s="51" t="s">
        <v>90</v>
      </c>
      <c r="D33" s="50" t="s">
        <v>19</v>
      </c>
      <c r="E33" s="15" t="s">
        <v>36</v>
      </c>
      <c r="F33" s="46"/>
      <c r="G33" s="47"/>
      <c r="H33" s="47"/>
      <c r="I33" s="60" t="s">
        <v>25</v>
      </c>
      <c r="J33" s="17"/>
      <c r="K33" s="59"/>
    </row>
    <row r="34" ht="15" spans="1:11">
      <c r="A34" s="48"/>
      <c r="B34" s="44" t="s">
        <v>91</v>
      </c>
      <c r="C34" s="51" t="s">
        <v>92</v>
      </c>
      <c r="D34" s="50" t="s">
        <v>22</v>
      </c>
      <c r="E34" s="15" t="s">
        <v>36</v>
      </c>
      <c r="F34" s="46"/>
      <c r="G34" s="47"/>
      <c r="H34" s="47"/>
      <c r="I34" s="60" t="s">
        <v>25</v>
      </c>
      <c r="J34" s="17"/>
      <c r="K34" s="59"/>
    </row>
    <row r="35" ht="15" spans="1:11">
      <c r="A35" s="48"/>
      <c r="B35" s="44" t="s">
        <v>93</v>
      </c>
      <c r="C35" s="51" t="s">
        <v>94</v>
      </c>
      <c r="D35" s="11" t="s">
        <v>22</v>
      </c>
      <c r="E35" s="15" t="s">
        <v>36</v>
      </c>
      <c r="F35" s="46"/>
      <c r="G35" s="47"/>
      <c r="H35" s="47"/>
      <c r="I35" s="60" t="s">
        <v>25</v>
      </c>
      <c r="J35" s="17"/>
      <c r="K35" s="59"/>
    </row>
    <row r="36" ht="15" spans="1:11">
      <c r="A36" s="48"/>
      <c r="B36" s="44" t="s">
        <v>95</v>
      </c>
      <c r="C36" s="51" t="s">
        <v>85</v>
      </c>
      <c r="D36" s="50" t="s">
        <v>22</v>
      </c>
      <c r="E36" s="15" t="s">
        <v>36</v>
      </c>
      <c r="F36" s="46"/>
      <c r="G36" s="47"/>
      <c r="H36" s="47"/>
      <c r="I36" s="60" t="s">
        <v>25</v>
      </c>
      <c r="J36" s="17"/>
      <c r="K36" s="59"/>
    </row>
    <row r="37" ht="15" spans="1:11">
      <c r="A37" s="48"/>
      <c r="B37" s="44" t="s">
        <v>96</v>
      </c>
      <c r="C37" s="51" t="s">
        <v>87</v>
      </c>
      <c r="D37" s="11" t="s">
        <v>22</v>
      </c>
      <c r="E37" s="15" t="s">
        <v>36</v>
      </c>
      <c r="F37" s="46"/>
      <c r="G37" s="47"/>
      <c r="H37" s="47"/>
      <c r="I37" s="60" t="s">
        <v>25</v>
      </c>
      <c r="J37" s="61"/>
      <c r="K37" s="59"/>
    </row>
    <row r="38" ht="15" spans="1:11">
      <c r="A38" s="43" t="s">
        <v>97</v>
      </c>
      <c r="B38" s="44" t="s">
        <v>98</v>
      </c>
      <c r="C38" s="51" t="s">
        <v>99</v>
      </c>
      <c r="D38" s="50" t="s">
        <v>19</v>
      </c>
      <c r="E38" s="15" t="s">
        <v>36</v>
      </c>
      <c r="F38" s="46"/>
      <c r="G38" s="47"/>
      <c r="H38" s="47"/>
      <c r="I38" s="60" t="s">
        <v>25</v>
      </c>
      <c r="J38" s="61"/>
      <c r="K38" s="59"/>
    </row>
    <row r="39" ht="15" spans="1:11">
      <c r="A39" s="48"/>
      <c r="B39" s="44" t="s">
        <v>100</v>
      </c>
      <c r="C39" s="51" t="s">
        <v>101</v>
      </c>
      <c r="D39" s="50" t="s">
        <v>22</v>
      </c>
      <c r="E39" s="15" t="s">
        <v>36</v>
      </c>
      <c r="F39" s="46"/>
      <c r="G39" s="47"/>
      <c r="H39" s="47"/>
      <c r="I39" s="60" t="s">
        <v>25</v>
      </c>
      <c r="J39" s="61"/>
      <c r="K39" s="59"/>
    </row>
    <row r="40" ht="15" spans="1:11">
      <c r="A40" s="48"/>
      <c r="B40" s="44" t="s">
        <v>102</v>
      </c>
      <c r="C40" s="51" t="s">
        <v>103</v>
      </c>
      <c r="D40" s="11" t="s">
        <v>22</v>
      </c>
      <c r="E40" s="15" t="s">
        <v>36</v>
      </c>
      <c r="F40" s="46"/>
      <c r="G40" s="47"/>
      <c r="H40" s="47"/>
      <c r="I40" s="60" t="s">
        <v>25</v>
      </c>
      <c r="J40" s="61"/>
      <c r="K40" s="59"/>
    </row>
    <row r="41" ht="15" spans="1:11">
      <c r="A41" s="48"/>
      <c r="B41" s="44" t="s">
        <v>104</v>
      </c>
      <c r="C41" s="51" t="s">
        <v>105</v>
      </c>
      <c r="D41" s="50" t="s">
        <v>22</v>
      </c>
      <c r="E41" s="15" t="s">
        <v>36</v>
      </c>
      <c r="F41" s="46"/>
      <c r="G41" s="47"/>
      <c r="H41" s="47"/>
      <c r="I41" s="60" t="s">
        <v>25</v>
      </c>
      <c r="J41" s="61"/>
      <c r="K41" s="59"/>
    </row>
    <row r="42" ht="15" spans="1:11">
      <c r="A42" s="43" t="s">
        <v>106</v>
      </c>
      <c r="B42" s="44" t="s">
        <v>107</v>
      </c>
      <c r="C42" s="51" t="s">
        <v>108</v>
      </c>
      <c r="D42" s="50" t="s">
        <v>22</v>
      </c>
      <c r="E42" s="15" t="s">
        <v>36</v>
      </c>
      <c r="F42" s="46"/>
      <c r="G42" s="47"/>
      <c r="H42" s="47"/>
      <c r="I42" s="60" t="s">
        <v>25</v>
      </c>
      <c r="J42" s="61"/>
      <c r="K42" s="59"/>
    </row>
    <row r="43" ht="15" spans="1:11">
      <c r="A43" s="48"/>
      <c r="B43" s="44" t="s">
        <v>109</v>
      </c>
      <c r="C43" s="51" t="s">
        <v>110</v>
      </c>
      <c r="D43" s="11" t="s">
        <v>22</v>
      </c>
      <c r="E43" s="15" t="s">
        <v>36</v>
      </c>
      <c r="F43" s="46"/>
      <c r="G43" s="47"/>
      <c r="H43" s="47"/>
      <c r="I43" s="60" t="s">
        <v>25</v>
      </c>
      <c r="J43" s="17"/>
      <c r="K43" s="59"/>
    </row>
    <row r="44" ht="15" spans="1:11">
      <c r="A44" s="48"/>
      <c r="B44" s="44" t="s">
        <v>111</v>
      </c>
      <c r="C44" s="51" t="s">
        <v>112</v>
      </c>
      <c r="D44" s="50" t="s">
        <v>22</v>
      </c>
      <c r="E44" s="15" t="s">
        <v>36</v>
      </c>
      <c r="F44" s="46"/>
      <c r="G44" s="47"/>
      <c r="H44" s="47"/>
      <c r="I44" s="60" t="s">
        <v>25</v>
      </c>
      <c r="J44" s="61"/>
      <c r="K44" s="59"/>
    </row>
    <row r="45" ht="15" spans="1:11">
      <c r="A45" s="48"/>
      <c r="B45" s="44" t="s">
        <v>113</v>
      </c>
      <c r="C45" s="51" t="s">
        <v>114</v>
      </c>
      <c r="D45" s="50" t="s">
        <v>22</v>
      </c>
      <c r="E45" s="15" t="s">
        <v>36</v>
      </c>
      <c r="F45" s="46"/>
      <c r="G45" s="47"/>
      <c r="H45" s="47"/>
      <c r="I45" s="60" t="s">
        <v>25</v>
      </c>
      <c r="J45" s="61"/>
      <c r="K45" s="59"/>
    </row>
    <row r="46" ht="15" spans="1:11">
      <c r="A46" s="48"/>
      <c r="B46" s="44" t="s">
        <v>115</v>
      </c>
      <c r="C46" s="51" t="s">
        <v>116</v>
      </c>
      <c r="D46" s="50" t="s">
        <v>22</v>
      </c>
      <c r="E46" s="15" t="s">
        <v>36</v>
      </c>
      <c r="F46" s="46"/>
      <c r="G46" s="47"/>
      <c r="H46" s="47"/>
      <c r="I46" s="60" t="s">
        <v>25</v>
      </c>
      <c r="J46" s="61"/>
      <c r="K46" s="59"/>
    </row>
    <row r="47" ht="15" spans="1:11">
      <c r="A47" s="48"/>
      <c r="B47" s="44" t="s">
        <v>117</v>
      </c>
      <c r="C47" s="51" t="s">
        <v>118</v>
      </c>
      <c r="D47" s="50" t="s">
        <v>22</v>
      </c>
      <c r="E47" s="15" t="s">
        <v>36</v>
      </c>
      <c r="F47" s="46"/>
      <c r="G47" s="47"/>
      <c r="H47" s="47"/>
      <c r="I47" s="60" t="s">
        <v>25</v>
      </c>
      <c r="J47" s="61"/>
      <c r="K47" s="59"/>
    </row>
    <row r="48" ht="30" spans="1:11">
      <c r="A48" s="48"/>
      <c r="B48" s="44" t="s">
        <v>119</v>
      </c>
      <c r="C48" s="51" t="s">
        <v>120</v>
      </c>
      <c r="D48" s="50" t="s">
        <v>22</v>
      </c>
      <c r="E48" s="15" t="s">
        <v>36</v>
      </c>
      <c r="F48" s="46"/>
      <c r="G48" s="47"/>
      <c r="H48" s="47"/>
      <c r="I48" s="60" t="s">
        <v>25</v>
      </c>
      <c r="J48" s="61"/>
      <c r="K48" s="59"/>
    </row>
    <row r="49" ht="30" spans="1:11">
      <c r="A49" s="48"/>
      <c r="B49" s="44" t="s">
        <v>121</v>
      </c>
      <c r="C49" s="51" t="s">
        <v>122</v>
      </c>
      <c r="D49" s="50" t="s">
        <v>22</v>
      </c>
      <c r="E49" s="15" t="s">
        <v>36</v>
      </c>
      <c r="F49" s="46"/>
      <c r="G49" s="47"/>
      <c r="H49" s="47"/>
      <c r="I49" s="60" t="s">
        <v>25</v>
      </c>
      <c r="J49" s="61"/>
      <c r="K49" s="59"/>
    </row>
    <row r="50" ht="15" spans="1:11">
      <c r="A50" s="48"/>
      <c r="B50" s="44" t="s">
        <v>123</v>
      </c>
      <c r="C50" s="51" t="s">
        <v>124</v>
      </c>
      <c r="D50" s="50" t="s">
        <v>22</v>
      </c>
      <c r="E50" s="15" t="s">
        <v>36</v>
      </c>
      <c r="F50" s="46"/>
      <c r="G50" s="47"/>
      <c r="H50" s="47"/>
      <c r="I50" s="60" t="s">
        <v>25</v>
      </c>
      <c r="J50" s="61"/>
      <c r="K50" s="59"/>
    </row>
    <row r="51" ht="30" spans="1:11">
      <c r="A51" s="48"/>
      <c r="B51" s="44" t="s">
        <v>125</v>
      </c>
      <c r="C51" s="51" t="s">
        <v>126</v>
      </c>
      <c r="D51" s="50" t="s">
        <v>22</v>
      </c>
      <c r="E51" s="15" t="s">
        <v>36</v>
      </c>
      <c r="F51" s="46"/>
      <c r="G51" s="47"/>
      <c r="H51" s="47"/>
      <c r="I51" s="60" t="s">
        <v>25</v>
      </c>
      <c r="J51" s="61"/>
      <c r="K51" s="59"/>
    </row>
    <row r="52" ht="15" spans="1:11">
      <c r="A52" s="11" t="s">
        <v>127</v>
      </c>
      <c r="B52" s="44" t="s">
        <v>128</v>
      </c>
      <c r="C52" s="51" t="s">
        <v>129</v>
      </c>
      <c r="D52" s="50" t="s">
        <v>19</v>
      </c>
      <c r="E52" s="15" t="s">
        <v>36</v>
      </c>
      <c r="F52" s="46"/>
      <c r="G52" s="47"/>
      <c r="H52" s="47"/>
      <c r="I52" s="60" t="s">
        <v>25</v>
      </c>
      <c r="J52" s="61"/>
      <c r="K52" s="59"/>
    </row>
    <row r="53" ht="15" spans="1:11">
      <c r="A53" s="11"/>
      <c r="B53" s="44" t="s">
        <v>130</v>
      </c>
      <c r="C53" s="51" t="s">
        <v>131</v>
      </c>
      <c r="D53" s="50" t="s">
        <v>19</v>
      </c>
      <c r="E53" s="15" t="s">
        <v>36</v>
      </c>
      <c r="F53" s="46"/>
      <c r="G53" s="47"/>
      <c r="H53" s="47"/>
      <c r="I53" s="60" t="s">
        <v>25</v>
      </c>
      <c r="J53" s="61"/>
      <c r="K53" s="59"/>
    </row>
    <row r="54" ht="15" spans="1:11">
      <c r="A54" s="11"/>
      <c r="B54" s="44" t="s">
        <v>132</v>
      </c>
      <c r="C54" s="51" t="s">
        <v>133</v>
      </c>
      <c r="D54" s="50" t="s">
        <v>22</v>
      </c>
      <c r="E54" s="15" t="s">
        <v>36</v>
      </c>
      <c r="F54" s="46"/>
      <c r="G54" s="47"/>
      <c r="H54" s="47"/>
      <c r="I54" s="60" t="s">
        <v>25</v>
      </c>
      <c r="J54" s="61"/>
      <c r="K54" s="59"/>
    </row>
    <row r="55" ht="15" spans="1:11">
      <c r="A55" s="11"/>
      <c r="B55" s="44" t="s">
        <v>134</v>
      </c>
      <c r="C55" s="51" t="s">
        <v>135</v>
      </c>
      <c r="D55" s="50" t="s">
        <v>19</v>
      </c>
      <c r="E55" s="15" t="s">
        <v>36</v>
      </c>
      <c r="F55" s="46"/>
      <c r="G55" s="47"/>
      <c r="H55" s="47"/>
      <c r="I55" s="60" t="s">
        <v>25</v>
      </c>
      <c r="J55" s="61"/>
      <c r="K55" s="59"/>
    </row>
    <row r="56" ht="15" spans="1:11">
      <c r="A56" s="11"/>
      <c r="B56" s="44" t="s">
        <v>136</v>
      </c>
      <c r="C56" s="51" t="s">
        <v>137</v>
      </c>
      <c r="D56" s="50" t="s">
        <v>22</v>
      </c>
      <c r="E56" s="15" t="s">
        <v>36</v>
      </c>
      <c r="F56" s="46"/>
      <c r="G56" s="47"/>
      <c r="H56" s="47"/>
      <c r="I56" s="60" t="s">
        <v>25</v>
      </c>
      <c r="J56" s="61"/>
      <c r="K56" s="59"/>
    </row>
    <row r="57" ht="30" spans="1:11">
      <c r="A57" s="11" t="s">
        <v>138</v>
      </c>
      <c r="B57" s="44"/>
      <c r="C57" s="51" t="s">
        <v>139</v>
      </c>
      <c r="D57" s="50" t="s">
        <v>19</v>
      </c>
      <c r="E57" s="15" t="s">
        <v>36</v>
      </c>
      <c r="F57" s="46"/>
      <c r="G57" s="47"/>
      <c r="H57" s="47"/>
      <c r="I57" s="60" t="s">
        <v>25</v>
      </c>
      <c r="J57" s="61"/>
      <c r="K57" s="59"/>
    </row>
    <row r="58" ht="30" spans="1:11">
      <c r="A58" s="11" t="s">
        <v>140</v>
      </c>
      <c r="B58" s="44" t="s">
        <v>141</v>
      </c>
      <c r="C58" s="51" t="s">
        <v>142</v>
      </c>
      <c r="D58" s="50" t="s">
        <v>22</v>
      </c>
      <c r="E58" s="15" t="s">
        <v>36</v>
      </c>
      <c r="F58" s="46"/>
      <c r="G58" s="47"/>
      <c r="H58" s="47"/>
      <c r="I58" s="60" t="s">
        <v>25</v>
      </c>
      <c r="J58" s="61"/>
      <c r="K58" s="59"/>
    </row>
    <row r="59" ht="30" spans="1:11">
      <c r="A59" s="52" t="s">
        <v>143</v>
      </c>
      <c r="B59" s="44" t="s">
        <v>144</v>
      </c>
      <c r="C59" s="53" t="s">
        <v>145</v>
      </c>
      <c r="D59" s="50" t="s">
        <v>19</v>
      </c>
      <c r="E59" s="15" t="s">
        <v>36</v>
      </c>
      <c r="F59" s="46"/>
      <c r="G59" s="47"/>
      <c r="H59" s="47"/>
      <c r="I59" s="60" t="s">
        <v>25</v>
      </c>
      <c r="J59" s="61"/>
      <c r="K59" s="59"/>
    </row>
    <row r="60" ht="15" spans="1:11">
      <c r="A60" s="54"/>
      <c r="B60" s="44" t="s">
        <v>146</v>
      </c>
      <c r="C60" s="53" t="s">
        <v>147</v>
      </c>
      <c r="D60" s="50" t="s">
        <v>19</v>
      </c>
      <c r="E60" s="15" t="s">
        <v>36</v>
      </c>
      <c r="F60" s="46"/>
      <c r="G60" s="47"/>
      <c r="H60" s="47"/>
      <c r="I60" s="60" t="s">
        <v>25</v>
      </c>
      <c r="J60" s="61"/>
      <c r="K60" s="59"/>
    </row>
    <row r="61" ht="30" spans="1:11">
      <c r="A61" s="54"/>
      <c r="B61" s="44" t="s">
        <v>148</v>
      </c>
      <c r="C61" s="53" t="s">
        <v>149</v>
      </c>
      <c r="D61" s="50" t="s">
        <v>22</v>
      </c>
      <c r="E61" s="15" t="s">
        <v>36</v>
      </c>
      <c r="F61" s="46"/>
      <c r="G61" s="47"/>
      <c r="H61" s="47"/>
      <c r="I61" s="60" t="s">
        <v>25</v>
      </c>
      <c r="J61" s="61"/>
      <c r="K61" s="59"/>
    </row>
    <row r="62" ht="75" spans="1:11">
      <c r="A62" s="55"/>
      <c r="B62" s="44" t="s">
        <v>150</v>
      </c>
      <c r="C62" s="53" t="s">
        <v>151</v>
      </c>
      <c r="D62" s="50" t="s">
        <v>22</v>
      </c>
      <c r="E62" s="15" t="s">
        <v>36</v>
      </c>
      <c r="F62" s="46"/>
      <c r="G62" s="47"/>
      <c r="H62" s="47"/>
      <c r="I62" s="60" t="s">
        <v>25</v>
      </c>
      <c r="J62" s="61"/>
      <c r="K62" s="59"/>
    </row>
    <row r="63" ht="45" spans="1:11">
      <c r="A63" s="56" t="s">
        <v>152</v>
      </c>
      <c r="B63" s="44" t="s">
        <v>153</v>
      </c>
      <c r="C63" s="51" t="s">
        <v>154</v>
      </c>
      <c r="D63" s="50" t="s">
        <v>22</v>
      </c>
      <c r="E63" s="15" t="s">
        <v>36</v>
      </c>
      <c r="F63" s="46"/>
      <c r="G63" s="47"/>
      <c r="H63" s="47"/>
      <c r="I63" s="60" t="s">
        <v>25</v>
      </c>
      <c r="J63" s="61"/>
      <c r="K63" s="59"/>
    </row>
    <row r="64" ht="45" spans="1:11">
      <c r="A64" s="56" t="s">
        <v>155</v>
      </c>
      <c r="B64" s="44" t="s">
        <v>156</v>
      </c>
      <c r="C64" s="51" t="s">
        <v>157</v>
      </c>
      <c r="D64" s="50" t="s">
        <v>22</v>
      </c>
      <c r="E64" s="15" t="s">
        <v>36</v>
      </c>
      <c r="F64" s="46"/>
      <c r="G64" s="47"/>
      <c r="H64" s="47"/>
      <c r="I64" s="60" t="s">
        <v>25</v>
      </c>
      <c r="J64" s="61"/>
      <c r="K64" s="59"/>
    </row>
    <row r="65" ht="45" spans="1:11">
      <c r="A65" s="56" t="s">
        <v>158</v>
      </c>
      <c r="B65" s="44" t="s">
        <v>159</v>
      </c>
      <c r="C65" s="51" t="s">
        <v>160</v>
      </c>
      <c r="D65" s="50" t="s">
        <v>22</v>
      </c>
      <c r="E65" s="15" t="s">
        <v>36</v>
      </c>
      <c r="F65" s="46"/>
      <c r="G65" s="47"/>
      <c r="H65" s="47"/>
      <c r="I65" s="60" t="s">
        <v>25</v>
      </c>
      <c r="J65" s="61"/>
      <c r="K65" s="59"/>
    </row>
    <row r="66" spans="1:11">
      <c r="A66" s="52" t="s">
        <v>161</v>
      </c>
      <c r="B66" s="44" t="s">
        <v>162</v>
      </c>
      <c r="C66" s="51" t="s">
        <v>163</v>
      </c>
      <c r="D66" s="50" t="s">
        <v>22</v>
      </c>
      <c r="E66" s="15" t="s">
        <v>36</v>
      </c>
      <c r="F66" s="46"/>
      <c r="G66" s="47"/>
      <c r="H66" s="47"/>
      <c r="I66" s="60" t="s">
        <v>25</v>
      </c>
      <c r="J66" s="61"/>
      <c r="K66" s="59"/>
    </row>
    <row r="67" ht="30" spans="1:11">
      <c r="A67" s="54"/>
      <c r="B67" s="44" t="s">
        <v>164</v>
      </c>
      <c r="C67" s="51" t="s">
        <v>165</v>
      </c>
      <c r="D67" s="50" t="s">
        <v>22</v>
      </c>
      <c r="E67" s="15" t="s">
        <v>36</v>
      </c>
      <c r="F67" s="46"/>
      <c r="G67" s="47"/>
      <c r="H67" s="47"/>
      <c r="I67" s="60" t="s">
        <v>25</v>
      </c>
      <c r="J67" s="61"/>
      <c r="K67" s="59"/>
    </row>
    <row r="68" spans="1:11">
      <c r="A68" s="54"/>
      <c r="B68" s="44" t="s">
        <v>166</v>
      </c>
      <c r="C68" s="51" t="s">
        <v>167</v>
      </c>
      <c r="D68" s="50" t="s">
        <v>22</v>
      </c>
      <c r="E68" s="15" t="s">
        <v>36</v>
      </c>
      <c r="F68" s="46"/>
      <c r="G68" s="47"/>
      <c r="H68" s="47"/>
      <c r="I68" s="60" t="s">
        <v>25</v>
      </c>
      <c r="J68" s="61"/>
      <c r="K68" s="59"/>
    </row>
    <row r="69" ht="30" spans="1:11">
      <c r="A69" s="54"/>
      <c r="B69" s="44" t="s">
        <v>168</v>
      </c>
      <c r="C69" s="51" t="s">
        <v>169</v>
      </c>
      <c r="D69" s="50" t="s">
        <v>22</v>
      </c>
      <c r="E69" s="15" t="s">
        <v>36</v>
      </c>
      <c r="F69" s="46"/>
      <c r="G69" s="47"/>
      <c r="H69" s="47"/>
      <c r="I69" s="60" t="s">
        <v>25</v>
      </c>
      <c r="J69" s="61"/>
      <c r="K69" s="59"/>
    </row>
    <row r="70" ht="30" spans="1:11">
      <c r="A70" s="54"/>
      <c r="B70" s="44" t="s">
        <v>170</v>
      </c>
      <c r="C70" s="51" t="s">
        <v>171</v>
      </c>
      <c r="D70" s="50" t="s">
        <v>22</v>
      </c>
      <c r="E70" s="15" t="s">
        <v>36</v>
      </c>
      <c r="F70" s="46"/>
      <c r="G70" s="47"/>
      <c r="H70" s="47"/>
      <c r="I70" s="60" t="s">
        <v>25</v>
      </c>
      <c r="J70" s="61"/>
      <c r="K70" s="59"/>
    </row>
    <row r="71" spans="1:11">
      <c r="A71" s="55"/>
      <c r="B71" s="44" t="s">
        <v>172</v>
      </c>
      <c r="C71" s="51" t="s">
        <v>173</v>
      </c>
      <c r="D71" s="50" t="s">
        <v>22</v>
      </c>
      <c r="E71" s="15" t="s">
        <v>36</v>
      </c>
      <c r="F71" s="46"/>
      <c r="G71" s="47"/>
      <c r="H71" s="47"/>
      <c r="I71" s="60" t="s">
        <v>25</v>
      </c>
      <c r="J71" s="61"/>
      <c r="K71" s="59"/>
    </row>
    <row r="72" ht="15" spans="1:11">
      <c r="A72" s="62"/>
      <c r="B72" s="59"/>
      <c r="C72" s="59"/>
      <c r="D72" s="59"/>
      <c r="E72" s="59"/>
      <c r="F72" s="59"/>
      <c r="G72" s="59"/>
      <c r="H72" s="59"/>
      <c r="I72" s="63"/>
      <c r="J72" s="59"/>
      <c r="K72" s="59"/>
    </row>
    <row r="73" ht="15" spans="1:11">
      <c r="A73" s="62"/>
      <c r="B73" s="59"/>
      <c r="C73" s="59"/>
      <c r="D73" s="59"/>
      <c r="E73" s="59"/>
      <c r="F73" s="59"/>
      <c r="G73" s="59"/>
      <c r="H73" s="59"/>
      <c r="I73" s="63"/>
      <c r="J73" s="59"/>
      <c r="K73" s="59"/>
    </row>
    <row r="74" ht="15" spans="1:11">
      <c r="A74" s="62"/>
      <c r="B74" s="59"/>
      <c r="C74" s="59"/>
      <c r="D74" s="59"/>
      <c r="E74" s="59"/>
      <c r="F74" s="59"/>
      <c r="G74" s="59"/>
      <c r="H74" s="59"/>
      <c r="I74" s="63"/>
      <c r="J74" s="59"/>
      <c r="K74" s="59"/>
    </row>
    <row r="75" ht="15" spans="1:11">
      <c r="A75" s="62"/>
      <c r="B75" s="59"/>
      <c r="C75" s="59"/>
      <c r="D75" s="59"/>
      <c r="E75" s="59"/>
      <c r="F75" s="59"/>
      <c r="G75" s="59"/>
      <c r="H75" s="59"/>
      <c r="I75" s="63"/>
      <c r="J75" s="59"/>
      <c r="K75" s="59"/>
    </row>
    <row r="76" ht="15" spans="1:11">
      <c r="A76" s="62"/>
      <c r="B76" s="59"/>
      <c r="C76" s="59"/>
      <c r="D76" s="59"/>
      <c r="E76" s="59"/>
      <c r="F76" s="59"/>
      <c r="G76" s="59"/>
      <c r="H76" s="59"/>
      <c r="I76" s="63"/>
      <c r="J76" s="59"/>
      <c r="K76" s="59"/>
    </row>
    <row r="77" ht="15" spans="1:11">
      <c r="A77" s="62"/>
      <c r="B77" s="59"/>
      <c r="C77" s="59"/>
      <c r="D77" s="59"/>
      <c r="E77" s="59"/>
      <c r="F77" s="59"/>
      <c r="G77" s="59"/>
      <c r="H77" s="59"/>
      <c r="I77" s="63"/>
      <c r="J77" s="59"/>
      <c r="K77" s="59"/>
    </row>
    <row r="78" ht="15" spans="1:11">
      <c r="A78" s="62"/>
      <c r="B78" s="59"/>
      <c r="C78" s="59"/>
      <c r="D78" s="59"/>
      <c r="E78" s="59"/>
      <c r="F78" s="59"/>
      <c r="G78" s="59"/>
      <c r="H78" s="59"/>
      <c r="I78" s="63"/>
      <c r="J78" s="59"/>
      <c r="K78" s="59"/>
    </row>
    <row r="79" ht="15" spans="1:11">
      <c r="A79" s="62"/>
      <c r="B79" s="59"/>
      <c r="C79" s="59"/>
      <c r="D79" s="59"/>
      <c r="E79" s="59"/>
      <c r="F79" s="59"/>
      <c r="G79" s="59"/>
      <c r="H79" s="59"/>
      <c r="I79" s="63"/>
      <c r="J79" s="59"/>
      <c r="K79" s="59"/>
    </row>
    <row r="80" ht="15" spans="1:11">
      <c r="A80" s="62"/>
      <c r="B80" s="59"/>
      <c r="C80" s="59"/>
      <c r="D80" s="59"/>
      <c r="E80" s="59"/>
      <c r="F80" s="59"/>
      <c r="G80" s="59"/>
      <c r="H80" s="59"/>
      <c r="I80" s="63"/>
      <c r="J80" s="59"/>
      <c r="K80" s="59"/>
    </row>
    <row r="81" ht="15" spans="1:11">
      <c r="A81" s="62"/>
      <c r="B81" s="59"/>
      <c r="C81" s="59"/>
      <c r="D81" s="59"/>
      <c r="E81" s="59"/>
      <c r="F81" s="59"/>
      <c r="G81" s="59"/>
      <c r="H81" s="59"/>
      <c r="I81" s="63"/>
      <c r="J81" s="59"/>
      <c r="K81" s="59"/>
    </row>
    <row r="82" ht="15" spans="1:11">
      <c r="A82" s="62"/>
      <c r="B82" s="59"/>
      <c r="C82" s="59"/>
      <c r="D82" s="59"/>
      <c r="E82" s="59"/>
      <c r="F82" s="59"/>
      <c r="G82" s="59"/>
      <c r="H82" s="59"/>
      <c r="I82" s="63"/>
      <c r="J82" s="59"/>
      <c r="K82" s="59"/>
    </row>
    <row r="83" ht="15" spans="1:11">
      <c r="A83" s="62"/>
      <c r="B83" s="59"/>
      <c r="C83" s="59"/>
      <c r="D83" s="59"/>
      <c r="E83" s="59"/>
      <c r="F83" s="59"/>
      <c r="G83" s="59"/>
      <c r="H83" s="59"/>
      <c r="I83" s="63"/>
      <c r="J83" s="59"/>
      <c r="K83" s="59"/>
    </row>
    <row r="84" ht="15" spans="1:11">
      <c r="A84" s="62"/>
      <c r="B84" s="59"/>
      <c r="C84" s="59"/>
      <c r="D84" s="59"/>
      <c r="E84" s="59"/>
      <c r="F84" s="59"/>
      <c r="G84" s="59"/>
      <c r="H84" s="59"/>
      <c r="I84" s="63"/>
      <c r="J84" s="59"/>
      <c r="K84" s="59"/>
    </row>
    <row r="85" ht="15" spans="1:11">
      <c r="A85" s="62"/>
      <c r="B85" s="59"/>
      <c r="C85" s="59"/>
      <c r="D85" s="59"/>
      <c r="E85" s="59"/>
      <c r="F85" s="59"/>
      <c r="G85" s="59"/>
      <c r="H85" s="59"/>
      <c r="I85" s="63"/>
      <c r="J85" s="59"/>
      <c r="K85" s="59"/>
    </row>
    <row r="86" ht="15" spans="1:11">
      <c r="A86" s="62"/>
      <c r="B86" s="59"/>
      <c r="C86" s="59"/>
      <c r="D86" s="59"/>
      <c r="E86" s="59"/>
      <c r="F86" s="59"/>
      <c r="G86" s="59"/>
      <c r="H86" s="59"/>
      <c r="I86" s="63"/>
      <c r="J86" s="59"/>
      <c r="K86" s="59"/>
    </row>
    <row r="87" ht="15" spans="1:11">
      <c r="A87" s="62"/>
      <c r="B87" s="59"/>
      <c r="C87" s="59"/>
      <c r="D87" s="59"/>
      <c r="E87" s="59"/>
      <c r="F87" s="59"/>
      <c r="G87" s="59"/>
      <c r="H87" s="59"/>
      <c r="I87" s="63"/>
      <c r="J87" s="59"/>
      <c r="K87" s="59"/>
    </row>
    <row r="88" ht="15" spans="1:11">
      <c r="A88" s="62"/>
      <c r="B88" s="59"/>
      <c r="C88" s="59"/>
      <c r="D88" s="59"/>
      <c r="E88" s="59"/>
      <c r="F88" s="59"/>
      <c r="G88" s="59"/>
      <c r="H88" s="59"/>
      <c r="I88" s="63"/>
      <c r="J88" s="59"/>
      <c r="K88" s="59"/>
    </row>
    <row r="89" ht="15" spans="1:8">
      <c r="A89" s="62"/>
      <c r="B89" s="59"/>
      <c r="C89" s="59"/>
      <c r="D89" s="59"/>
      <c r="E89" s="59"/>
      <c r="F89" s="59"/>
      <c r="G89" s="59"/>
      <c r="H89" s="59"/>
    </row>
    <row r="90" ht="15" spans="1:8">
      <c r="A90" s="62"/>
      <c r="B90" s="59"/>
      <c r="C90" s="59"/>
      <c r="D90" s="59"/>
      <c r="E90" s="59"/>
      <c r="F90" s="59"/>
      <c r="G90" s="59"/>
      <c r="H90" s="59"/>
    </row>
    <row r="91" ht="15" spans="1:8">
      <c r="A91" s="62"/>
      <c r="B91" s="59"/>
      <c r="C91" s="59"/>
      <c r="D91" s="59"/>
      <c r="E91" s="59"/>
      <c r="F91" s="59"/>
      <c r="G91" s="59"/>
      <c r="H91" s="59"/>
    </row>
    <row r="92" ht="15" spans="1:8">
      <c r="A92" s="62"/>
      <c r="B92" s="59"/>
      <c r="C92" s="59"/>
      <c r="D92" s="59"/>
      <c r="E92" s="59"/>
      <c r="F92" s="59"/>
      <c r="G92" s="59"/>
      <c r="H92" s="59"/>
    </row>
    <row r="93" ht="15" spans="1:8">
      <c r="A93" s="62"/>
      <c r="B93" s="59"/>
      <c r="C93" s="59"/>
      <c r="D93" s="59"/>
      <c r="E93" s="59"/>
      <c r="F93" s="59"/>
      <c r="G93" s="59"/>
      <c r="H93" s="59"/>
    </row>
    <row r="94" ht="15" spans="1:5">
      <c r="A94" s="62"/>
      <c r="B94" s="59"/>
      <c r="C94" s="59"/>
      <c r="D94" s="59"/>
      <c r="E94" s="59"/>
    </row>
    <row r="95" ht="15" spans="1:5">
      <c r="A95" s="62"/>
      <c r="B95" s="59"/>
      <c r="C95" s="59"/>
      <c r="D95" s="59"/>
      <c r="E95" s="59"/>
    </row>
    <row r="96" ht="15" spans="1:5">
      <c r="A96" s="62"/>
      <c r="B96" s="59"/>
      <c r="C96" s="59"/>
      <c r="D96" s="59"/>
      <c r="E96" s="59"/>
    </row>
    <row r="97" ht="15" spans="1:5">
      <c r="A97" s="62"/>
      <c r="B97" s="59"/>
      <c r="C97" s="59"/>
      <c r="D97" s="59"/>
      <c r="E97" s="59"/>
    </row>
    <row r="98" ht="15" spans="1:5">
      <c r="A98" s="62"/>
      <c r="B98" s="59"/>
      <c r="C98" s="59"/>
      <c r="D98" s="59"/>
      <c r="E98" s="59"/>
    </row>
  </sheetData>
  <sheetProtection password="DBEA" sheet="1" objects="1"/>
  <protectedRanges>
    <protectedRange password="DBEA" sqref="C9:D66" name="区域1" securityDescriptor="O:WDG:WDD:"/>
  </protectedRanges>
  <mergeCells count="64">
    <mergeCell ref="A3:B3"/>
    <mergeCell ref="I3:J3"/>
    <mergeCell ref="A4:B4"/>
    <mergeCell ref="I4:J4"/>
    <mergeCell ref="A5:B5"/>
    <mergeCell ref="I5:J5"/>
    <mergeCell ref="A6:B6"/>
    <mergeCell ref="A7:B7"/>
    <mergeCell ref="F7:J7"/>
    <mergeCell ref="F8:H8"/>
    <mergeCell ref="F9:H9"/>
    <mergeCell ref="F11:H11"/>
    <mergeCell ref="F12:H12"/>
    <mergeCell ref="F15:H15"/>
    <mergeCell ref="F16:H16"/>
    <mergeCell ref="F22:H22"/>
    <mergeCell ref="F24:H24"/>
    <mergeCell ref="F25:H25"/>
    <mergeCell ref="F26:H26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1:H41"/>
    <mergeCell ref="F42:H42"/>
    <mergeCell ref="F43:H43"/>
    <mergeCell ref="F44:H44"/>
    <mergeCell ref="F51:H51"/>
    <mergeCell ref="F52:H52"/>
    <mergeCell ref="F53:H53"/>
    <mergeCell ref="F54:H54"/>
    <mergeCell ref="F55:H55"/>
    <mergeCell ref="F56:H56"/>
    <mergeCell ref="F58:H58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A9:A11"/>
    <mergeCell ref="A12:A14"/>
    <mergeCell ref="A15:A21"/>
    <mergeCell ref="A22:A27"/>
    <mergeCell ref="A28:A32"/>
    <mergeCell ref="A33:A37"/>
    <mergeCell ref="A38:A41"/>
    <mergeCell ref="A42:A51"/>
    <mergeCell ref="A52:A56"/>
    <mergeCell ref="A59:A62"/>
    <mergeCell ref="A66:A71"/>
    <mergeCell ref="A1:J2"/>
  </mergeCells>
  <conditionalFormatting sqref="C7">
    <cfRule type="cellIs" dxfId="0" priority="5" operator="equal">
      <formula>"不通过"</formula>
    </cfRule>
  </conditionalFormatting>
  <conditionalFormatting sqref="D9">
    <cfRule type="cellIs" dxfId="1" priority="13" operator="equal">
      <formula>"规则"</formula>
    </cfRule>
  </conditionalFormatting>
  <conditionalFormatting sqref="D10">
    <cfRule type="cellIs" dxfId="1" priority="20" operator="equal">
      <formula>"规则"</formula>
    </cfRule>
  </conditionalFormatting>
  <conditionalFormatting sqref="E10">
    <cfRule type="cellIs" dxfId="2" priority="22" operator="equal">
      <formula>"满足"</formula>
    </cfRule>
    <cfRule type="cellIs" dxfId="3" priority="21" operator="equal">
      <formula>"不满足"</formula>
    </cfRule>
  </conditionalFormatting>
  <conditionalFormatting sqref="I10">
    <cfRule type="cellIs" dxfId="1" priority="19" operator="equal">
      <formula>"不通过"</formula>
    </cfRule>
  </conditionalFormatting>
  <conditionalFormatting sqref="D22">
    <cfRule type="cellIs" dxfId="1" priority="23" operator="equal">
      <formula>"规则"</formula>
    </cfRule>
  </conditionalFormatting>
  <conditionalFormatting sqref="D23">
    <cfRule type="cellIs" dxfId="1" priority="26" operator="equal">
      <formula>"规则"</formula>
    </cfRule>
  </conditionalFormatting>
  <conditionalFormatting sqref="D25">
    <cfRule type="cellIs" dxfId="1" priority="16" operator="equal">
      <formula>"规则"</formula>
    </cfRule>
  </conditionalFormatting>
  <conditionalFormatting sqref="D13:D14">
    <cfRule type="cellIs" dxfId="1" priority="30" operator="equal">
      <formula>"规则"</formula>
    </cfRule>
  </conditionalFormatting>
  <conditionalFormatting sqref="D24:D25">
    <cfRule type="cellIs" dxfId="1" priority="25" operator="equal">
      <formula>"规则"</formula>
    </cfRule>
  </conditionalFormatting>
  <conditionalFormatting sqref="D26:D27">
    <cfRule type="cellIs" dxfId="1" priority="24" operator="equal">
      <formula>"规则"</formula>
    </cfRule>
  </conditionalFormatting>
  <conditionalFormatting sqref="D28:D32">
    <cfRule type="cellIs" dxfId="1" priority="10" operator="equal">
      <formula>"规则"</formula>
    </cfRule>
  </conditionalFormatting>
  <conditionalFormatting sqref="D33:D37">
    <cfRule type="cellIs" dxfId="1" priority="7" operator="equal">
      <formula>"规则"</formula>
    </cfRule>
  </conditionalFormatting>
  <conditionalFormatting sqref="D54:D55">
    <cfRule type="cellIs" dxfId="1" priority="18" operator="equal">
      <formula>"规则"</formula>
    </cfRule>
  </conditionalFormatting>
  <conditionalFormatting sqref="H4:H5">
    <cfRule type="cellIs" dxfId="4" priority="6" operator="lessThan">
      <formula>0.95</formula>
    </cfRule>
  </conditionalFormatting>
  <conditionalFormatting sqref="E11:E71 E9">
    <cfRule type="cellIs" dxfId="3" priority="34" operator="equal">
      <formula>"不满足"</formula>
    </cfRule>
    <cfRule type="cellIs" dxfId="2" priority="35" operator="equal">
      <formula>"满足"</formula>
    </cfRule>
  </conditionalFormatting>
  <conditionalFormatting sqref="I9 I11:I71">
    <cfRule type="cellIs" dxfId="1" priority="32" operator="equal">
      <formula>"不通过"</formula>
    </cfRule>
  </conditionalFormatting>
  <conditionalFormatting sqref="D11:D12 D15:D21 D56:D71 D38:D53">
    <cfRule type="cellIs" dxfId="1" priority="33" operator="equal">
      <formula>"规则"</formula>
    </cfRule>
  </conditionalFormatting>
  <dataValidations count="3">
    <dataValidation type="list" allowBlank="1" showInputMessage="1" showErrorMessage="1" sqref="D9 D10 D11 D12 D13 D14 D15 D22 D23 D24 D25 D26 D27 D56 D57 D58 D59 D60 D61 D65 D66 D16:D21 D28:D32 D33:D37 D38:D41 D42:D43 D44:D47 D48:D51 D52:D53 D54:D55 D62:D64 D67:D71">
      <formula1>"规则,建议"</formula1>
    </dataValidation>
    <dataValidation type="list" allowBlank="1" showInputMessage="1" showErrorMessage="1" sqref="C7 I9 I10 I57 I65 I66 I11:I15 I16:I21 I22:I56 I58:I61 I62:I64 I67:I71">
      <formula1>"通过,不通过"</formula1>
    </dataValidation>
    <dataValidation type="list" allowBlank="1" showInputMessage="1" showErrorMessage="1" sqref="E9 E10 E57 E65 E66 E11:E15 E16:E21 E22:E56 E58:E61 E62:E64 E67:E71">
      <formula1>"满足,不满足,不涉及"</formula1>
    </dataValidation>
  </dataValidations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F11" sqref="F11:F14"/>
    </sheetView>
  </sheetViews>
  <sheetFormatPr defaultColWidth="9" defaultRowHeight="17.25"/>
  <cols>
    <col min="1" max="1" width="9" style="2"/>
    <col min="2" max="2" width="13.5" style="2" customWidth="1"/>
    <col min="3" max="3" width="7.625" style="3" customWidth="1"/>
    <col min="4" max="4" width="35" style="4" customWidth="1"/>
    <col min="5" max="5" width="17" style="3" customWidth="1"/>
    <col min="6" max="6" width="31.375" style="2" customWidth="1"/>
    <col min="7" max="7" width="7.25" style="2" customWidth="1"/>
    <col min="8" max="9" width="9" style="2"/>
    <col min="10" max="10" width="26.625" style="2" customWidth="1"/>
    <col min="11" max="11" width="10.125" style="2" customWidth="1"/>
    <col min="12" max="12" width="7.75" style="2" customWidth="1"/>
    <col min="13" max="13" width="20.75" style="2" customWidth="1"/>
    <col min="14" max="16384" width="9" style="2"/>
  </cols>
  <sheetData>
    <row r="1" ht="30" spans="1:13">
      <c r="A1" s="5" t="s">
        <v>174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31" customHeight="1" spans="1:13">
      <c r="A2" s="7"/>
      <c r="B2" s="8" t="s">
        <v>175</v>
      </c>
      <c r="C2" s="8" t="s">
        <v>176</v>
      </c>
      <c r="D2" s="8" t="s">
        <v>177</v>
      </c>
      <c r="E2" s="8" t="s">
        <v>178</v>
      </c>
      <c r="F2" s="8" t="s">
        <v>179</v>
      </c>
      <c r="G2" s="8" t="s">
        <v>180</v>
      </c>
      <c r="H2" s="8" t="s">
        <v>13</v>
      </c>
      <c r="I2" s="8" t="s">
        <v>29</v>
      </c>
      <c r="J2" s="8" t="s">
        <v>30</v>
      </c>
      <c r="K2" s="8" t="s">
        <v>181</v>
      </c>
      <c r="L2" s="8" t="s">
        <v>182</v>
      </c>
      <c r="M2" s="8" t="s">
        <v>32</v>
      </c>
    </row>
    <row r="3" s="1" customFormat="1" ht="20" customHeight="1" spans="1:13">
      <c r="A3" s="9" t="s">
        <v>183</v>
      </c>
      <c r="B3" s="10" t="s">
        <v>138</v>
      </c>
      <c r="C3" s="10">
        <v>90</v>
      </c>
      <c r="D3" s="10" t="s">
        <v>184</v>
      </c>
      <c r="E3" s="10" t="s">
        <v>185</v>
      </c>
      <c r="F3" s="10" t="s">
        <v>186</v>
      </c>
      <c r="G3" s="10" t="s">
        <v>187</v>
      </c>
      <c r="H3" s="11" t="s">
        <v>22</v>
      </c>
      <c r="I3" s="15" t="s">
        <v>36</v>
      </c>
      <c r="J3" s="11"/>
      <c r="K3" s="16"/>
      <c r="L3" s="17" t="s">
        <v>37</v>
      </c>
      <c r="M3" s="17"/>
    </row>
    <row r="4" s="1" customFormat="1" ht="30" customHeight="1" spans="1:13">
      <c r="A4" s="12"/>
      <c r="B4" s="9" t="s">
        <v>140</v>
      </c>
      <c r="C4" s="9">
        <v>90</v>
      </c>
      <c r="D4" s="10"/>
      <c r="E4" s="10" t="s">
        <v>188</v>
      </c>
      <c r="F4" s="9" t="s">
        <v>186</v>
      </c>
      <c r="G4" s="9" t="s">
        <v>189</v>
      </c>
      <c r="H4" s="11" t="s">
        <v>22</v>
      </c>
      <c r="I4" s="15" t="s">
        <v>36</v>
      </c>
      <c r="J4" s="18"/>
      <c r="K4" s="18"/>
      <c r="L4" s="17" t="s">
        <v>25</v>
      </c>
      <c r="M4" s="17"/>
    </row>
    <row r="5" s="1" customFormat="1" ht="20" customHeight="1" spans="1:13">
      <c r="A5" s="12"/>
      <c r="B5" s="13"/>
      <c r="C5" s="13"/>
      <c r="D5" s="10" t="s">
        <v>190</v>
      </c>
      <c r="E5" s="10" t="s">
        <v>191</v>
      </c>
      <c r="F5" s="13"/>
      <c r="G5" s="13"/>
      <c r="H5" s="11" t="s">
        <v>22</v>
      </c>
      <c r="I5" s="15" t="s">
        <v>36</v>
      </c>
      <c r="J5" s="16"/>
      <c r="K5" s="16"/>
      <c r="L5" s="17" t="s">
        <v>25</v>
      </c>
      <c r="M5" s="17"/>
    </row>
    <row r="6" s="1" customFormat="1" ht="20" customHeight="1" spans="1:13">
      <c r="A6" s="12"/>
      <c r="B6" s="9" t="s">
        <v>192</v>
      </c>
      <c r="C6" s="9">
        <v>100</v>
      </c>
      <c r="D6" s="10" t="s">
        <v>193</v>
      </c>
      <c r="E6" s="10" t="s">
        <v>188</v>
      </c>
      <c r="F6" s="9" t="s">
        <v>186</v>
      </c>
      <c r="G6" s="9" t="s">
        <v>189</v>
      </c>
      <c r="H6" s="11" t="s">
        <v>22</v>
      </c>
      <c r="I6" s="15" t="s">
        <v>36</v>
      </c>
      <c r="J6" s="16"/>
      <c r="K6" s="16"/>
      <c r="L6" s="17" t="s">
        <v>25</v>
      </c>
      <c r="M6" s="17"/>
    </row>
    <row r="7" s="1" customFormat="1" ht="20" customHeight="1" spans="1:13">
      <c r="A7" s="12"/>
      <c r="B7" s="13"/>
      <c r="C7" s="13"/>
      <c r="D7" s="14"/>
      <c r="E7" s="10" t="s">
        <v>191</v>
      </c>
      <c r="F7" s="13"/>
      <c r="G7" s="13"/>
      <c r="H7" s="11" t="s">
        <v>22</v>
      </c>
      <c r="I7" s="15" t="s">
        <v>36</v>
      </c>
      <c r="J7" s="16"/>
      <c r="K7" s="16"/>
      <c r="L7" s="17" t="s">
        <v>25</v>
      </c>
      <c r="M7" s="17"/>
    </row>
    <row r="8" s="1" customFormat="1" ht="20" customHeight="1" spans="1:13">
      <c r="A8" s="12"/>
      <c r="B8" s="10" t="s">
        <v>194</v>
      </c>
      <c r="C8" s="10"/>
      <c r="D8" s="10" t="s">
        <v>195</v>
      </c>
      <c r="E8" s="10" t="s">
        <v>196</v>
      </c>
      <c r="F8" s="10" t="s">
        <v>186</v>
      </c>
      <c r="G8" s="10" t="s">
        <v>187</v>
      </c>
      <c r="H8" s="11" t="s">
        <v>22</v>
      </c>
      <c r="I8" s="15" t="s">
        <v>36</v>
      </c>
      <c r="J8" s="18"/>
      <c r="K8" s="18"/>
      <c r="L8" s="17" t="s">
        <v>25</v>
      </c>
      <c r="M8" s="17"/>
    </row>
    <row r="9" s="1" customFormat="1" ht="20" customHeight="1" spans="1:13">
      <c r="A9" s="12"/>
      <c r="B9" s="10" t="s">
        <v>197</v>
      </c>
      <c r="C9" s="10">
        <v>100</v>
      </c>
      <c r="D9" s="10" t="s">
        <v>198</v>
      </c>
      <c r="E9" s="10" t="s">
        <v>196</v>
      </c>
      <c r="F9" s="10" t="s">
        <v>199</v>
      </c>
      <c r="G9" s="10" t="s">
        <v>187</v>
      </c>
      <c r="H9" s="11" t="s">
        <v>22</v>
      </c>
      <c r="I9" s="15" t="s">
        <v>36</v>
      </c>
      <c r="J9" s="16"/>
      <c r="K9" s="16"/>
      <c r="L9" s="17" t="s">
        <v>25</v>
      </c>
      <c r="M9" s="17"/>
    </row>
    <row r="10" s="1" customFormat="1" ht="20" customHeight="1" spans="1:13">
      <c r="A10" s="12"/>
      <c r="B10" s="10" t="s">
        <v>200</v>
      </c>
      <c r="C10" s="10">
        <v>100</v>
      </c>
      <c r="D10" s="10" t="s">
        <v>201</v>
      </c>
      <c r="E10" s="10" t="s">
        <v>202</v>
      </c>
      <c r="F10" s="10" t="s">
        <v>186</v>
      </c>
      <c r="G10" s="10" t="s">
        <v>187</v>
      </c>
      <c r="H10" s="11" t="s">
        <v>22</v>
      </c>
      <c r="I10" s="15" t="s">
        <v>36</v>
      </c>
      <c r="J10" s="18"/>
      <c r="K10" s="18"/>
      <c r="L10" s="17" t="s">
        <v>25</v>
      </c>
      <c r="M10" s="17"/>
    </row>
    <row r="11" s="1" customFormat="1" ht="20" customHeight="1" spans="1:13">
      <c r="A11" s="12"/>
      <c r="B11" s="9" t="s">
        <v>203</v>
      </c>
      <c r="C11" s="9">
        <v>100</v>
      </c>
      <c r="D11" s="10"/>
      <c r="E11" s="9" t="s">
        <v>204</v>
      </c>
      <c r="F11" s="9" t="s">
        <v>186</v>
      </c>
      <c r="G11" s="9" t="s">
        <v>187</v>
      </c>
      <c r="H11" s="11" t="s">
        <v>22</v>
      </c>
      <c r="I11" s="15" t="s">
        <v>36</v>
      </c>
      <c r="J11" s="16"/>
      <c r="K11" s="16"/>
      <c r="L11" s="17" t="s">
        <v>25</v>
      </c>
      <c r="M11" s="17"/>
    </row>
    <row r="12" s="1" customFormat="1" ht="20" customHeight="1" spans="1:13">
      <c r="A12" s="12"/>
      <c r="B12" s="12"/>
      <c r="C12" s="12"/>
      <c r="D12" s="10" t="s">
        <v>205</v>
      </c>
      <c r="E12" s="12"/>
      <c r="F12" s="12"/>
      <c r="G12" s="12"/>
      <c r="H12" s="11" t="s">
        <v>22</v>
      </c>
      <c r="I12" s="15" t="s">
        <v>36</v>
      </c>
      <c r="J12" s="16"/>
      <c r="K12" s="16"/>
      <c r="L12" s="17" t="s">
        <v>25</v>
      </c>
      <c r="M12" s="17"/>
    </row>
    <row r="13" s="1" customFormat="1" ht="20" customHeight="1" spans="1:13">
      <c r="A13" s="12"/>
      <c r="B13" s="12"/>
      <c r="C13" s="12"/>
      <c r="D13" s="10"/>
      <c r="E13" s="12"/>
      <c r="F13" s="12"/>
      <c r="G13" s="12"/>
      <c r="H13" s="11" t="s">
        <v>22</v>
      </c>
      <c r="I13" s="15" t="s">
        <v>36</v>
      </c>
      <c r="J13" s="16"/>
      <c r="K13" s="16"/>
      <c r="L13" s="17" t="s">
        <v>25</v>
      </c>
      <c r="M13" s="17"/>
    </row>
    <row r="14" s="1" customFormat="1" ht="20" customHeight="1" spans="1:13">
      <c r="A14" s="12"/>
      <c r="B14" s="13"/>
      <c r="C14" s="13"/>
      <c r="D14" s="10" t="s">
        <v>206</v>
      </c>
      <c r="E14" s="13"/>
      <c r="F14" s="13"/>
      <c r="G14" s="13"/>
      <c r="H14" s="11" t="s">
        <v>22</v>
      </c>
      <c r="I14" s="15" t="s">
        <v>36</v>
      </c>
      <c r="J14" s="16"/>
      <c r="K14" s="16"/>
      <c r="L14" s="17" t="s">
        <v>25</v>
      </c>
      <c r="M14" s="17"/>
    </row>
    <row r="15" s="1" customFormat="1" ht="20" customHeight="1" spans="1:13">
      <c r="A15" s="12"/>
      <c r="B15" s="10" t="s">
        <v>207</v>
      </c>
      <c r="C15" s="10">
        <v>100</v>
      </c>
      <c r="D15" s="10" t="s">
        <v>208</v>
      </c>
      <c r="E15" s="10" t="s">
        <v>209</v>
      </c>
      <c r="F15" s="10" t="s">
        <v>186</v>
      </c>
      <c r="G15" s="10" t="s">
        <v>187</v>
      </c>
      <c r="H15" s="11" t="s">
        <v>22</v>
      </c>
      <c r="I15" s="15" t="s">
        <v>36</v>
      </c>
      <c r="J15" s="16"/>
      <c r="K15" s="16"/>
      <c r="L15" s="17" t="s">
        <v>25</v>
      </c>
      <c r="M15" s="17"/>
    </row>
    <row r="16" s="1" customFormat="1" ht="20" customHeight="1" spans="1:13">
      <c r="A16" s="9" t="s">
        <v>210</v>
      </c>
      <c r="B16" s="9" t="s">
        <v>88</v>
      </c>
      <c r="C16" s="9">
        <v>50</v>
      </c>
      <c r="D16" s="9" t="s">
        <v>211</v>
      </c>
      <c r="E16" s="9" t="s">
        <v>209</v>
      </c>
      <c r="F16" s="9" t="s">
        <v>212</v>
      </c>
      <c r="G16" s="9" t="s">
        <v>187</v>
      </c>
      <c r="H16" s="11" t="s">
        <v>22</v>
      </c>
      <c r="I16" s="15" t="s">
        <v>36</v>
      </c>
      <c r="J16" s="16"/>
      <c r="K16" s="16"/>
      <c r="L16" s="17" t="s">
        <v>25</v>
      </c>
      <c r="M16" s="17"/>
    </row>
    <row r="17" s="1" customFormat="1" ht="20" customHeight="1" spans="1:13">
      <c r="A17" s="12"/>
      <c r="B17" s="13"/>
      <c r="C17" s="13"/>
      <c r="D17" s="13"/>
      <c r="E17" s="13"/>
      <c r="F17" s="13"/>
      <c r="G17" s="13"/>
      <c r="H17" s="11" t="s">
        <v>22</v>
      </c>
      <c r="I17" s="15" t="s">
        <v>36</v>
      </c>
      <c r="J17" s="16"/>
      <c r="K17" s="16"/>
      <c r="L17" s="17" t="s">
        <v>25</v>
      </c>
      <c r="M17" s="17"/>
    </row>
    <row r="18" s="1" customFormat="1" ht="20" customHeight="1" spans="1:13">
      <c r="A18" s="12"/>
      <c r="B18" s="9" t="s">
        <v>213</v>
      </c>
      <c r="C18" s="9">
        <v>50</v>
      </c>
      <c r="D18" s="9" t="s">
        <v>214</v>
      </c>
      <c r="E18" s="9" t="s">
        <v>209</v>
      </c>
      <c r="F18" s="9" t="s">
        <v>212</v>
      </c>
      <c r="G18" s="9" t="s">
        <v>187</v>
      </c>
      <c r="H18" s="11" t="s">
        <v>22</v>
      </c>
      <c r="I18" s="15" t="s">
        <v>36</v>
      </c>
      <c r="J18" s="16"/>
      <c r="K18" s="16"/>
      <c r="L18" s="17" t="s">
        <v>25</v>
      </c>
      <c r="M18" s="17"/>
    </row>
    <row r="19" s="1" customFormat="1" ht="20" customHeight="1" spans="1:13">
      <c r="A19" s="12"/>
      <c r="B19" s="13"/>
      <c r="C19" s="13"/>
      <c r="D19" s="13"/>
      <c r="E19" s="13"/>
      <c r="F19" s="13"/>
      <c r="G19" s="13"/>
      <c r="H19" s="11" t="s">
        <v>22</v>
      </c>
      <c r="I19" s="15" t="s">
        <v>36</v>
      </c>
      <c r="J19" s="16"/>
      <c r="K19" s="16"/>
      <c r="L19" s="17" t="s">
        <v>25</v>
      </c>
      <c r="M19" s="17"/>
    </row>
    <row r="20" s="1" customFormat="1" ht="20" customHeight="1" spans="1:13">
      <c r="A20" s="12"/>
      <c r="B20" s="10" t="s">
        <v>215</v>
      </c>
      <c r="C20" s="10">
        <v>50</v>
      </c>
      <c r="D20" s="10" t="s">
        <v>216</v>
      </c>
      <c r="E20" s="10" t="s">
        <v>209</v>
      </c>
      <c r="F20" s="10" t="s">
        <v>217</v>
      </c>
      <c r="G20" s="10" t="s">
        <v>187</v>
      </c>
      <c r="H20" s="11" t="s">
        <v>22</v>
      </c>
      <c r="I20" s="15" t="s">
        <v>36</v>
      </c>
      <c r="J20" s="16"/>
      <c r="K20" s="16"/>
      <c r="L20" s="17" t="s">
        <v>25</v>
      </c>
      <c r="M20" s="17"/>
    </row>
    <row r="21" s="1" customFormat="1" ht="20" customHeight="1" spans="1:13">
      <c r="A21" s="13"/>
      <c r="B21" s="10" t="s">
        <v>218</v>
      </c>
      <c r="C21" s="10">
        <v>50</v>
      </c>
      <c r="D21" s="10" t="s">
        <v>219</v>
      </c>
      <c r="E21" s="10" t="s">
        <v>209</v>
      </c>
      <c r="F21" s="10" t="s">
        <v>217</v>
      </c>
      <c r="G21" s="10" t="s">
        <v>187</v>
      </c>
      <c r="H21" s="11" t="s">
        <v>22</v>
      </c>
      <c r="I21" s="15" t="s">
        <v>36</v>
      </c>
      <c r="J21" s="16"/>
      <c r="K21" s="16"/>
      <c r="L21" s="17" t="s">
        <v>25</v>
      </c>
      <c r="M21" s="17"/>
    </row>
  </sheetData>
  <sheetProtection password="DBEA" sheet="1" objects="1"/>
  <mergeCells count="28">
    <mergeCell ref="A1:M1"/>
    <mergeCell ref="A3:A15"/>
    <mergeCell ref="A16:A21"/>
    <mergeCell ref="B4:B5"/>
    <mergeCell ref="B6:B7"/>
    <mergeCell ref="B11:B14"/>
    <mergeCell ref="B16:B17"/>
    <mergeCell ref="B18:B19"/>
    <mergeCell ref="C4:C5"/>
    <mergeCell ref="C6:C7"/>
    <mergeCell ref="C11:C14"/>
    <mergeCell ref="C16:C17"/>
    <mergeCell ref="C18:C19"/>
    <mergeCell ref="D16:D17"/>
    <mergeCell ref="D18:D19"/>
    <mergeCell ref="E11:E14"/>
    <mergeCell ref="E16:E17"/>
    <mergeCell ref="E18:E19"/>
    <mergeCell ref="F4:F5"/>
    <mergeCell ref="F6:F7"/>
    <mergeCell ref="F11:F14"/>
    <mergeCell ref="F16:F17"/>
    <mergeCell ref="F18:F19"/>
    <mergeCell ref="G4:G5"/>
    <mergeCell ref="G6:G7"/>
    <mergeCell ref="G11:G14"/>
    <mergeCell ref="G16:G17"/>
    <mergeCell ref="G18:G19"/>
  </mergeCells>
  <conditionalFormatting sqref="I4">
    <cfRule type="cellIs" dxfId="2" priority="5" operator="equal">
      <formula>"满足"</formula>
    </cfRule>
    <cfRule type="cellIs" dxfId="3" priority="4" operator="equal">
      <formula>"不满足"</formula>
    </cfRule>
  </conditionalFormatting>
  <conditionalFormatting sqref="L4">
    <cfRule type="cellIs" dxfId="1" priority="2" operator="equal">
      <formula>"不通过"</formula>
    </cfRule>
  </conditionalFormatting>
  <conditionalFormatting sqref="H3 H12 H21">
    <cfRule type="cellIs" dxfId="1" priority="1" operator="equal">
      <formula>"规则"</formula>
    </cfRule>
  </conditionalFormatting>
  <conditionalFormatting sqref="I5:I21 I3">
    <cfRule type="cellIs" dxfId="3" priority="9" operator="equal">
      <formula>"不满足"</formula>
    </cfRule>
    <cfRule type="cellIs" dxfId="2" priority="10" operator="equal">
      <formula>"满足"</formula>
    </cfRule>
  </conditionalFormatting>
  <conditionalFormatting sqref="L3 L5:L21">
    <cfRule type="cellIs" dxfId="1" priority="7" operator="equal">
      <formula>"不通过"</formula>
    </cfRule>
  </conditionalFormatting>
  <conditionalFormatting sqref="H4 H13">
    <cfRule type="cellIs" dxfId="1" priority="3" operator="equal">
      <formula>"规则"</formula>
    </cfRule>
  </conditionalFormatting>
  <conditionalFormatting sqref="H5:H6 H9:H11 H14:H16 H19:H20">
    <cfRule type="cellIs" dxfId="1" priority="8" operator="equal">
      <formula>"规则"</formula>
    </cfRule>
  </conditionalFormatting>
  <conditionalFormatting sqref="H7:H8 H17:H18">
    <cfRule type="cellIs" dxfId="1" priority="6" operator="equal">
      <formula>"规则"</formula>
    </cfRule>
  </conditionalFormatting>
  <dataValidations count="3">
    <dataValidation type="list" allowBlank="1" showInputMessage="1" showErrorMessage="1" sqref="L15 L3:L14 L16:L21">
      <formula1>"通过,不通过"</formula1>
    </dataValidation>
    <dataValidation type="list" allowBlank="1" showInputMessage="1" showErrorMessage="1" sqref="H15 H3:H14 H16:H21">
      <formula1>"规则,建议"</formula1>
    </dataValidation>
    <dataValidation type="list" allowBlank="1" showInputMessage="1" showErrorMessage="1" sqref="I15 I3:I14 I16:I21">
      <formula1>"满足,不满足,不涉及"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区域1" rangeCreator="" othersAccessPermission="edit"/>
  </rangeList>
  <rangeList sheetStid="3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版本管理</vt:lpstr>
      <vt:lpstr>PCB checklist</vt:lpstr>
      <vt:lpstr>阻抗，等长需求表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xiongfangmin</cp:lastModifiedBy>
  <dcterms:created xsi:type="dcterms:W3CDTF">2021-11-29T03:01:00Z</dcterms:created>
  <dcterms:modified xsi:type="dcterms:W3CDTF">2023-04-12T01:32:54Z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425CD0C33BED44D58CA05970A6837BF5</vt:lpwstr>
  </property>
</Properties>
</file>